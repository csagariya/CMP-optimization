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zuvpraze-my.sharepoint.com/personal/sagariya_yobu_fld_czu_cz/Documents/Documents/Simulation/Christi_SCA_Code/Christi_Paper_3.G/"/>
    </mc:Choice>
  </mc:AlternateContent>
  <xr:revisionPtr revIDLastSave="2" documentId="11_281BE6F0E52C1474E078D70262FFCC3900087ED4" xr6:coauthVersionLast="47" xr6:coauthVersionMax="47" xr10:uidLastSave="{35B60C9F-0639-47FA-919F-2276E6C02928}"/>
  <bookViews>
    <workbookView xWindow="-120" yWindow="-120" windowWidth="29040" windowHeight="17520" activeTab="6" xr2:uid="{00000000-000D-0000-FFFF-FFFF00000000}"/>
  </bookViews>
  <sheets>
    <sheet name="GCA" sheetId="1" r:id="rId1"/>
    <sheet name="SCA" sheetId="2" r:id="rId2"/>
    <sheet name="G_matrix" sheetId="3" r:id="rId3"/>
    <sheet name="Y Limits" sheetId="8" r:id="rId4"/>
    <sheet name="Output_Parents_p" sheetId="9" r:id="rId5"/>
    <sheet name="Output_Families_Y" sheetId="10" r:id="rId6"/>
    <sheet name="Operational_Plan_Simple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1" l="1"/>
  <c r="D14" i="11"/>
  <c r="E14" i="11" s="1"/>
  <c r="F13" i="11"/>
  <c r="E13" i="11"/>
  <c r="D13" i="11"/>
  <c r="F12" i="11"/>
  <c r="D12" i="11"/>
  <c r="E12" i="11" s="1"/>
  <c r="F11" i="11"/>
  <c r="D11" i="11"/>
  <c r="E11" i="11" s="1"/>
  <c r="F10" i="11"/>
  <c r="D10" i="11"/>
  <c r="E10" i="11" s="1"/>
  <c r="F9" i="11"/>
  <c r="D9" i="11"/>
  <c r="E9" i="11" s="1"/>
  <c r="F8" i="11"/>
  <c r="D8" i="11"/>
  <c r="E8" i="11" s="1"/>
  <c r="F7" i="11"/>
  <c r="D7" i="11"/>
  <c r="E7" i="11" s="1"/>
  <c r="F6" i="11"/>
  <c r="D6" i="11"/>
  <c r="E6" i="11" s="1"/>
  <c r="F5" i="11"/>
  <c r="D5" i="11"/>
  <c r="E5" i="11" s="1"/>
  <c r="F4" i="11"/>
  <c r="D4" i="11"/>
  <c r="E4" i="11" s="1"/>
  <c r="F3" i="11"/>
  <c r="D3" i="11"/>
  <c r="E3" i="11" s="1"/>
  <c r="F2" i="11"/>
  <c r="D2" i="11"/>
  <c r="E2" i="11" s="1"/>
  <c r="D18" i="10"/>
  <c r="E17" i="10"/>
  <c r="F17" i="10" s="1"/>
  <c r="E16" i="10"/>
  <c r="F16" i="10" s="1"/>
  <c r="E15" i="10"/>
  <c r="F15" i="10" s="1"/>
  <c r="E14" i="10"/>
  <c r="F14" i="10" s="1"/>
  <c r="E13" i="10"/>
  <c r="F13" i="10" s="1"/>
  <c r="E12" i="10"/>
  <c r="F12" i="10" s="1"/>
  <c r="E11" i="10"/>
  <c r="F11" i="10" s="1"/>
  <c r="E10" i="10"/>
  <c r="F10" i="10" s="1"/>
  <c r="E9" i="10"/>
  <c r="F9" i="10" s="1"/>
  <c r="E8" i="10"/>
  <c r="F8" i="10" s="1"/>
  <c r="E7" i="10"/>
  <c r="F7" i="10" s="1"/>
  <c r="E6" i="10"/>
  <c r="F6" i="10" s="1"/>
  <c r="E5" i="10"/>
  <c r="F5" i="10" s="1"/>
  <c r="E4" i="10"/>
  <c r="F4" i="10" s="1"/>
  <c r="E3" i="10"/>
  <c r="F3" i="10" s="1"/>
  <c r="E2" i="10"/>
  <c r="E18" i="10" l="1"/>
  <c r="F2" i="10"/>
  <c r="F18" i="10" s="1"/>
</calcChain>
</file>

<file path=xl/sharedStrings.xml><?xml version="1.0" encoding="utf-8"?>
<sst xmlns="http://schemas.openxmlformats.org/spreadsheetml/2006/main" count="15" uniqueCount="15">
  <si>
    <t>Clone ID</t>
  </si>
  <si>
    <t>Optimized Total (p)</t>
  </si>
  <si>
    <t>Target Female (f)</t>
  </si>
  <si>
    <t>Required Male (m)</t>
  </si>
  <si>
    <t>Status</t>
  </si>
  <si>
    <t>Femaleness_Index (Helper)</t>
  </si>
  <si>
    <t>Parent1</t>
  </si>
  <si>
    <t>Parent2</t>
  </si>
  <si>
    <t>Proportion</t>
  </si>
  <si>
    <t>Num_Crosses</t>
  </si>
  <si>
    <t>As_Female (P1)</t>
  </si>
  <si>
    <t>As_Male (P1)</t>
  </si>
  <si>
    <t>TOTAL</t>
  </si>
  <si>
    <t>Parent_ID</t>
  </si>
  <si>
    <t>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</si>
</sst>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1" fillId="0" borderId="0" xfId="0" applyNumberFormat="1" applyFont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>
      <selection sqref="A1:A30"/>
    </sheetView>
  </sheetViews>
  <sheetFormatPr defaultColWidth="11.42578125" defaultRowHeight="15" x14ac:dyDescent="0.25"/>
  <sheetData>
    <row r="1" spans="1:1" x14ac:dyDescent="0.25">
      <c r="A1">
        <v>5.1227186793768802E-2</v>
      </c>
    </row>
    <row r="2" spans="1:1" x14ac:dyDescent="0.25">
      <c r="A2">
        <v>0.13252449191292601</v>
      </c>
    </row>
    <row r="3" spans="1:1" x14ac:dyDescent="0.25">
      <c r="A3">
        <v>0.18540794122554699</v>
      </c>
    </row>
    <row r="4" spans="1:1" x14ac:dyDescent="0.25">
      <c r="A4">
        <v>0.15154553707511301</v>
      </c>
    </row>
    <row r="5" spans="1:1" x14ac:dyDescent="0.25">
      <c r="A5">
        <v>-5.4365416555173303E-2</v>
      </c>
    </row>
    <row r="6" spans="1:1" x14ac:dyDescent="0.25">
      <c r="A6">
        <v>-2.30801054515966E-2</v>
      </c>
    </row>
    <row r="7" spans="1:1" x14ac:dyDescent="0.25">
      <c r="A7">
        <v>7.0570728939426605E-2</v>
      </c>
    </row>
    <row r="8" spans="1:1" x14ac:dyDescent="0.25">
      <c r="A8">
        <v>-7.9826574764306699E-2</v>
      </c>
    </row>
    <row r="9" spans="1:1" x14ac:dyDescent="0.25">
      <c r="A9">
        <v>4.6712056343526001E-2</v>
      </c>
    </row>
    <row r="10" spans="1:1" x14ac:dyDescent="0.25">
      <c r="A10">
        <v>7.3053273167242694E-2</v>
      </c>
    </row>
    <row r="11" spans="1:1" x14ac:dyDescent="0.25">
      <c r="A11">
        <v>-0.13734522034930299</v>
      </c>
    </row>
    <row r="12" spans="1:1" x14ac:dyDescent="0.25">
      <c r="A12">
        <v>-4.7072955277711499E-2</v>
      </c>
    </row>
    <row r="13" spans="1:1" x14ac:dyDescent="0.25">
      <c r="A13">
        <v>-4.96969183394389E-2</v>
      </c>
    </row>
    <row r="14" spans="1:1" x14ac:dyDescent="0.25">
      <c r="A14">
        <v>-8.8870458207015807E-2</v>
      </c>
    </row>
    <row r="15" spans="1:1" x14ac:dyDescent="0.25">
      <c r="A15">
        <v>4.3703163363629199E-2</v>
      </c>
    </row>
    <row r="16" spans="1:1" x14ac:dyDescent="0.25">
      <c r="A16">
        <v>-9.0730886520267395E-2</v>
      </c>
    </row>
    <row r="17" spans="1:1" x14ac:dyDescent="0.25">
      <c r="A17">
        <v>2.37730651747932E-2</v>
      </c>
    </row>
    <row r="18" spans="1:1" x14ac:dyDescent="0.25">
      <c r="A18">
        <v>1.49180466165939E-3</v>
      </c>
    </row>
    <row r="19" spans="1:1" x14ac:dyDescent="0.25">
      <c r="A19">
        <v>3.4263679646454298E-2</v>
      </c>
    </row>
    <row r="20" spans="1:1" x14ac:dyDescent="0.25">
      <c r="A20">
        <v>0.106032766593722</v>
      </c>
    </row>
    <row r="21" spans="1:1" x14ac:dyDescent="0.25">
      <c r="A21">
        <v>-4.2946682189116001E-2</v>
      </c>
    </row>
    <row r="22" spans="1:1" x14ac:dyDescent="0.25">
      <c r="A22">
        <v>3.1148718050065601E-3</v>
      </c>
    </row>
    <row r="23" spans="1:1" x14ac:dyDescent="0.25">
      <c r="A23">
        <v>4.8703125785327497E-2</v>
      </c>
    </row>
    <row r="24" spans="1:1" x14ac:dyDescent="0.25">
      <c r="A24">
        <v>-8.6568494317512304E-2</v>
      </c>
    </row>
    <row r="25" spans="1:1" x14ac:dyDescent="0.25">
      <c r="A25">
        <v>-0.17236381048395599</v>
      </c>
    </row>
    <row r="26" spans="1:1" x14ac:dyDescent="0.25">
      <c r="A26">
        <v>-0.158018685373781</v>
      </c>
    </row>
    <row r="27" spans="1:1" x14ac:dyDescent="0.25">
      <c r="A27">
        <v>0.15932475425994799</v>
      </c>
    </row>
    <row r="28" spans="1:1" x14ac:dyDescent="0.25">
      <c r="A28">
        <v>1.2931943705035399E-2</v>
      </c>
    </row>
    <row r="29" spans="1:1" x14ac:dyDescent="0.25">
      <c r="A29">
        <v>-7.7831856543547295E-2</v>
      </c>
    </row>
    <row r="30" spans="1:1" x14ac:dyDescent="0.25">
      <c r="A30">
        <v>0.32302783077210101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"/>
  <sheetViews>
    <sheetView workbookViewId="0">
      <selection sqref="A1:AD30"/>
    </sheetView>
  </sheetViews>
  <sheetFormatPr defaultColWidth="11.42578125" defaultRowHeight="15" x14ac:dyDescent="0.25"/>
  <sheetData>
    <row r="1" spans="1:30" x14ac:dyDescent="0.25">
      <c r="A1">
        <v>0</v>
      </c>
      <c r="B1">
        <v>-5.5724459841782203E-2</v>
      </c>
      <c r="C1">
        <v>0.16173843171340599</v>
      </c>
      <c r="D1">
        <v>-7.0484564445483797E-3</v>
      </c>
      <c r="E1">
        <v>4.1904542035036199E-2</v>
      </c>
      <c r="F1">
        <v>-4.4385768725872701E-2</v>
      </c>
      <c r="G1">
        <v>-6.3616811230017195E-2</v>
      </c>
      <c r="H1">
        <v>-0.10946215326675</v>
      </c>
      <c r="I1">
        <v>-7.8754402498283596E-2</v>
      </c>
      <c r="J1">
        <v>0.124885725882574</v>
      </c>
      <c r="K1">
        <v>-3.1128708609431701E-2</v>
      </c>
      <c r="L1">
        <v>0.18996969917522999</v>
      </c>
      <c r="M1">
        <v>-3.0955535815938202E-2</v>
      </c>
      <c r="N1">
        <v>-5.4186039679592402E-2</v>
      </c>
      <c r="O1">
        <v>4.1346305373936298E-2</v>
      </c>
      <c r="P1">
        <v>-1.7663563496183601E-2</v>
      </c>
      <c r="Q1">
        <v>3.9729557011197299E-2</v>
      </c>
      <c r="R1">
        <v>-2.43016275420424E-2</v>
      </c>
      <c r="S1">
        <v>-3.1253547505661401E-2</v>
      </c>
      <c r="T1">
        <v>-5.01564329352715E-2</v>
      </c>
      <c r="U1">
        <v>0.14479240824589301</v>
      </c>
      <c r="V1">
        <v>2.2629882989627301E-2</v>
      </c>
      <c r="W1">
        <v>-3.8748748588827903E-2</v>
      </c>
      <c r="X1">
        <v>-6.5054215736951401E-2</v>
      </c>
      <c r="Y1">
        <v>-8.3886556204878199E-2</v>
      </c>
      <c r="Z1">
        <v>8.8876636992446301E-2</v>
      </c>
      <c r="AA1">
        <v>-0.14514950633340601</v>
      </c>
      <c r="AB1">
        <v>3.5226149589908197E-2</v>
      </c>
      <c r="AC1">
        <v>1.1521859238910401E-2</v>
      </c>
      <c r="AD1">
        <v>0.28236344311516798</v>
      </c>
    </row>
    <row r="2" spans="1:30" x14ac:dyDescent="0.25">
      <c r="A2">
        <v>-5.5724459841782203E-2</v>
      </c>
      <c r="B2">
        <v>0</v>
      </c>
      <c r="C2">
        <v>7.4715797267335101E-3</v>
      </c>
      <c r="D2">
        <v>0.11656157408600901</v>
      </c>
      <c r="E2">
        <v>-0.11200499222721701</v>
      </c>
      <c r="F2">
        <v>9.9962686609047294E-2</v>
      </c>
      <c r="G2">
        <v>-6.3471491668989397E-2</v>
      </c>
      <c r="H2">
        <v>5.2189038461312898E-2</v>
      </c>
      <c r="I2">
        <v>-4.1002222690424098E-2</v>
      </c>
      <c r="J2">
        <v>8.0883787136146898E-2</v>
      </c>
      <c r="K2">
        <v>-1.0688439381582901E-3</v>
      </c>
      <c r="L2">
        <v>-0.124053474769504</v>
      </c>
      <c r="M2">
        <v>8.7444234219382494E-2</v>
      </c>
      <c r="N2">
        <v>7.6267929710137503E-2</v>
      </c>
      <c r="O2">
        <v>3.6037640764921303E-2</v>
      </c>
      <c r="P2">
        <v>-0.17461346909032899</v>
      </c>
      <c r="Q2">
        <v>-4.2092839234905102E-2</v>
      </c>
      <c r="R2">
        <v>-0.13097482386734599</v>
      </c>
      <c r="S2">
        <v>0.104554453172173</v>
      </c>
      <c r="T2">
        <v>-8.7374474195530596E-3</v>
      </c>
      <c r="U2">
        <v>8.4784183198508806E-2</v>
      </c>
      <c r="V2">
        <v>-6.3267267678244504E-2</v>
      </c>
      <c r="W2">
        <v>-3.29786298588511E-3</v>
      </c>
      <c r="X2">
        <v>-0.17459324225171499</v>
      </c>
      <c r="Y2">
        <v>0.148299296379069</v>
      </c>
      <c r="Z2">
        <v>-0.135216643024511</v>
      </c>
      <c r="AA2">
        <v>0.28789034688082299</v>
      </c>
      <c r="AB2">
        <v>-1.5710057895457399E-2</v>
      </c>
      <c r="AC2">
        <v>-2.00560387246164E-2</v>
      </c>
      <c r="AD2">
        <v>2.3740867465990401E-2</v>
      </c>
    </row>
    <row r="3" spans="1:30" x14ac:dyDescent="0.25">
      <c r="A3">
        <v>0.16173843171340599</v>
      </c>
      <c r="B3">
        <v>7.4715797267335101E-3</v>
      </c>
      <c r="C3">
        <v>0</v>
      </c>
      <c r="D3">
        <v>6.304050630301E-3</v>
      </c>
      <c r="E3">
        <v>8.3653268256548095E-3</v>
      </c>
      <c r="F3">
        <v>1.7421000124123599E-2</v>
      </c>
      <c r="G3">
        <v>-3.1610346997341797E-2</v>
      </c>
      <c r="H3">
        <v>2.79926364157265E-2</v>
      </c>
      <c r="I3">
        <v>-0.15673139970133301</v>
      </c>
      <c r="J3">
        <v>-5.6996158124915597E-2</v>
      </c>
      <c r="K3">
        <v>-7.8643268090226696E-3</v>
      </c>
      <c r="L3">
        <v>4.9725576899021198E-2</v>
      </c>
      <c r="M3">
        <v>-0.15645960004950199</v>
      </c>
      <c r="N3">
        <v>-8.7747963802356693E-2</v>
      </c>
      <c r="O3">
        <v>-6.06463123973221E-2</v>
      </c>
      <c r="P3">
        <v>-7.6471149051853496E-2</v>
      </c>
      <c r="Q3">
        <v>-0.14618396182044799</v>
      </c>
      <c r="R3">
        <v>-5.2697375124799002E-2</v>
      </c>
      <c r="S3">
        <v>-9.2853709105855803E-2</v>
      </c>
      <c r="T3">
        <v>3.3080943787964702E-2</v>
      </c>
      <c r="U3">
        <v>2.7353110657148402E-2</v>
      </c>
      <c r="V3">
        <v>0.243941792949015</v>
      </c>
      <c r="W3">
        <v>0.106691867351067</v>
      </c>
      <c r="X3">
        <v>-6.7878164524180204E-2</v>
      </c>
      <c r="Y3">
        <v>-1.1585569022472601E-2</v>
      </c>
      <c r="Z3">
        <v>2.3165929271802901E-2</v>
      </c>
      <c r="AA3">
        <v>-7.0217908878039198E-3</v>
      </c>
      <c r="AB3">
        <v>3.1923892580800597E-2</v>
      </c>
      <c r="AC3">
        <v>6.10584023838995E-2</v>
      </c>
      <c r="AD3">
        <v>0.31051681107428503</v>
      </c>
    </row>
    <row r="4" spans="1:30" x14ac:dyDescent="0.25">
      <c r="A4">
        <v>-7.0484564445483797E-3</v>
      </c>
      <c r="B4">
        <v>0.11656157408600901</v>
      </c>
      <c r="C4">
        <v>6.304050630301E-3</v>
      </c>
      <c r="D4">
        <v>0</v>
      </c>
      <c r="E4">
        <v>-8.4482210797036401E-3</v>
      </c>
      <c r="F4">
        <v>0.10091345726293401</v>
      </c>
      <c r="G4">
        <v>-0.108116869784201</v>
      </c>
      <c r="H4">
        <v>4.29007203262231E-2</v>
      </c>
      <c r="I4">
        <v>4.1541750386232999E-2</v>
      </c>
      <c r="J4">
        <v>-3.0214835786053999E-2</v>
      </c>
      <c r="K4">
        <v>-3.7095314211639398E-2</v>
      </c>
      <c r="L4">
        <v>6.6967309488448395E-2</v>
      </c>
      <c r="M4">
        <v>-6.6581726772408006E-2</v>
      </c>
      <c r="N4">
        <v>-6.0192885624308998E-3</v>
      </c>
      <c r="O4">
        <v>-0.115629912261499</v>
      </c>
      <c r="P4">
        <v>9.2132966439133403E-3</v>
      </c>
      <c r="Q4">
        <v>7.8226529834731703E-2</v>
      </c>
      <c r="R4">
        <v>-3.6133468976353701E-2</v>
      </c>
      <c r="S4">
        <v>4.5747949006693801E-2</v>
      </c>
      <c r="T4">
        <v>-0.10329894756062299</v>
      </c>
      <c r="U4">
        <v>1.16220031429295E-2</v>
      </c>
      <c r="V4">
        <v>-0.12371687030453</v>
      </c>
      <c r="W4">
        <v>1.2121968638520201E-2</v>
      </c>
      <c r="X4">
        <v>0.15439757027751899</v>
      </c>
      <c r="Y4">
        <v>8.66319141453578E-2</v>
      </c>
      <c r="Z4">
        <v>-7.3107504107125507E-2</v>
      </c>
      <c r="AA4">
        <v>7.3493952064137202E-3</v>
      </c>
      <c r="AB4">
        <v>1.5609897795380301E-2</v>
      </c>
      <c r="AC4">
        <v>4.9723454265797301E-2</v>
      </c>
      <c r="AD4">
        <v>1.50843538094486E-2</v>
      </c>
    </row>
    <row r="5" spans="1:30" x14ac:dyDescent="0.25">
      <c r="A5">
        <v>4.1904542035036199E-2</v>
      </c>
      <c r="B5">
        <v>-0.11200499222721701</v>
      </c>
      <c r="C5">
        <v>8.3653268256548095E-3</v>
      </c>
      <c r="D5">
        <v>-8.4482210797036401E-3</v>
      </c>
      <c r="E5">
        <v>0</v>
      </c>
      <c r="F5">
        <v>-8.4368669757613896E-2</v>
      </c>
      <c r="G5">
        <v>-8.2758665400288506E-2</v>
      </c>
      <c r="H5">
        <v>0.185986198208583</v>
      </c>
      <c r="I5">
        <v>9.2546261461270596E-2</v>
      </c>
      <c r="J5">
        <v>-7.0575590263096399E-2</v>
      </c>
      <c r="K5">
        <v>3.0290201410049001E-2</v>
      </c>
      <c r="L5">
        <v>8.6083852321359802E-2</v>
      </c>
      <c r="M5">
        <v>-4.7376288709038098E-3</v>
      </c>
      <c r="N5">
        <v>4.0102420568540798E-2</v>
      </c>
      <c r="O5">
        <v>-6.9824772479150005E-2</v>
      </c>
      <c r="P5">
        <v>-0.124368973772678</v>
      </c>
      <c r="Q5">
        <v>2.5517944783135699E-2</v>
      </c>
      <c r="R5">
        <v>2.7787695868327199E-2</v>
      </c>
      <c r="S5">
        <v>0.16156174145935601</v>
      </c>
      <c r="T5">
        <v>1.8514452305627101E-2</v>
      </c>
      <c r="U5">
        <v>3.4840968643147598E-2</v>
      </c>
      <c r="V5">
        <v>9.0744208890530895E-3</v>
      </c>
      <c r="W5">
        <v>4.1547031223496601E-2</v>
      </c>
      <c r="X5">
        <v>-0.12485955485896399</v>
      </c>
      <c r="Y5">
        <v>5.2052656423729603E-2</v>
      </c>
      <c r="Z5">
        <v>-2.1974529809592701E-2</v>
      </c>
      <c r="AA5">
        <v>-3.69081010735864E-2</v>
      </c>
      <c r="AB5">
        <v>2.4315133436501799E-2</v>
      </c>
      <c r="AC5">
        <v>5.5536588158476799E-2</v>
      </c>
      <c r="AD5">
        <v>-7.6266738678698695E-2</v>
      </c>
    </row>
    <row r="6" spans="1:30" x14ac:dyDescent="0.25">
      <c r="A6">
        <v>-4.4385768725872701E-2</v>
      </c>
      <c r="B6">
        <v>9.9962686609047294E-2</v>
      </c>
      <c r="C6">
        <v>1.7421000124123599E-2</v>
      </c>
      <c r="D6">
        <v>0.10091345726293401</v>
      </c>
      <c r="E6">
        <v>-8.4368669757613896E-2</v>
      </c>
      <c r="F6">
        <v>0</v>
      </c>
      <c r="G6">
        <v>-4.3560992075638003E-2</v>
      </c>
      <c r="H6">
        <v>7.52823396369766E-2</v>
      </c>
      <c r="I6">
        <v>-3.4779111261314999E-2</v>
      </c>
      <c r="J6">
        <v>-0.11093689507056401</v>
      </c>
      <c r="K6">
        <v>-5.8345615808236599E-2</v>
      </c>
      <c r="L6">
        <v>-7.1051672840470606E-2</v>
      </c>
      <c r="M6">
        <v>-0.111216935374118</v>
      </c>
      <c r="N6">
        <v>1.8131810101443199E-2</v>
      </c>
      <c r="O6">
        <v>-9.2425548488776904E-2</v>
      </c>
      <c r="P6">
        <v>9.1124941372930202E-2</v>
      </c>
      <c r="Q6">
        <v>5.8913357916996797E-2</v>
      </c>
      <c r="R6">
        <v>0.13858222224287001</v>
      </c>
      <c r="S6">
        <v>1.4236936612041E-2</v>
      </c>
      <c r="T6">
        <v>-0.151730837334805</v>
      </c>
      <c r="U6">
        <v>-1.9590450187767901E-2</v>
      </c>
      <c r="V6">
        <v>7.2285710484983307E-2</v>
      </c>
      <c r="W6">
        <v>1.36637973285594E-2</v>
      </c>
      <c r="X6">
        <v>7.4677284190019205E-2</v>
      </c>
      <c r="Y6">
        <v>2.1512556557953599E-2</v>
      </c>
      <c r="Z6">
        <v>-9.2340579846731302E-2</v>
      </c>
      <c r="AA6">
        <v>-4.1916789110173401E-2</v>
      </c>
      <c r="AB6">
        <v>2.2100992572782599E-2</v>
      </c>
      <c r="AC6">
        <v>0.15580579987253601</v>
      </c>
      <c r="AD6">
        <v>-6.06303100487477E-2</v>
      </c>
    </row>
    <row r="7" spans="1:30" x14ac:dyDescent="0.25">
      <c r="A7">
        <v>-6.3616811230017195E-2</v>
      </c>
      <c r="B7">
        <v>-6.3471491668989397E-2</v>
      </c>
      <c r="C7">
        <v>-3.1610346997341797E-2</v>
      </c>
      <c r="D7">
        <v>-0.108116869784201</v>
      </c>
      <c r="E7">
        <v>-8.2758665400288506E-2</v>
      </c>
      <c r="F7">
        <v>-4.3560992075638003E-2</v>
      </c>
      <c r="G7">
        <v>0</v>
      </c>
      <c r="H7">
        <v>-1.31249243136062E-2</v>
      </c>
      <c r="I7">
        <v>0.120619798044298</v>
      </c>
      <c r="J7">
        <v>6.0628879497699802E-2</v>
      </c>
      <c r="K7">
        <v>-0.111107546852567</v>
      </c>
      <c r="L7">
        <v>6.8983377940910098E-2</v>
      </c>
      <c r="M7">
        <v>-1.57430358259706E-2</v>
      </c>
      <c r="N7">
        <v>6.9780531882788904E-2</v>
      </c>
      <c r="O7">
        <v>6.5876289711937E-2</v>
      </c>
      <c r="P7">
        <v>5.4811577922552E-2</v>
      </c>
      <c r="Q7">
        <v>-5.0989985633881303E-2</v>
      </c>
      <c r="R7">
        <v>-0.151693324090486</v>
      </c>
      <c r="S7">
        <v>5.16133084092502E-2</v>
      </c>
      <c r="T7">
        <v>-5.0095110678555703E-2</v>
      </c>
      <c r="U7">
        <v>4.26721685204886E-2</v>
      </c>
      <c r="V7">
        <v>8.2419506914630999E-2</v>
      </c>
      <c r="W7">
        <v>-2.7384147373564E-2</v>
      </c>
      <c r="X7">
        <v>8.89178226098985E-2</v>
      </c>
      <c r="Y7">
        <v>2.1338758590876701E-2</v>
      </c>
      <c r="Z7">
        <v>0.15020699275302099</v>
      </c>
      <c r="AA7">
        <v>-6.72036934630173E-2</v>
      </c>
      <c r="AB7">
        <v>-8.5292482182346405E-2</v>
      </c>
      <c r="AC7">
        <v>-5.98125263804307E-3</v>
      </c>
      <c r="AD7">
        <v>7.57686960745277E-2</v>
      </c>
    </row>
    <row r="8" spans="1:30" x14ac:dyDescent="0.25">
      <c r="A8">
        <v>-0.10946215326675</v>
      </c>
      <c r="B8">
        <v>5.2189038461312898E-2</v>
      </c>
      <c r="C8">
        <v>2.79926364157265E-2</v>
      </c>
      <c r="D8">
        <v>4.29007203262231E-2</v>
      </c>
      <c r="E8">
        <v>0.185986198208583</v>
      </c>
      <c r="F8">
        <v>7.52823396369766E-2</v>
      </c>
      <c r="G8">
        <v>-1.31249243136062E-2</v>
      </c>
      <c r="H8">
        <v>0</v>
      </c>
      <c r="I8">
        <v>-4.0402948401311103E-2</v>
      </c>
      <c r="J8">
        <v>7.8602816156788102E-2</v>
      </c>
      <c r="K8">
        <v>-0.17898090803392699</v>
      </c>
      <c r="L8">
        <v>-6.7709812847049897E-2</v>
      </c>
      <c r="M8">
        <v>-9.6704606499696394E-2</v>
      </c>
      <c r="N8">
        <v>5.4907368053946401E-2</v>
      </c>
      <c r="O8">
        <v>-1.11425194316635E-2</v>
      </c>
      <c r="P8">
        <v>0.129107132895902</v>
      </c>
      <c r="Q8">
        <v>2.65740596426669E-4</v>
      </c>
      <c r="R8">
        <v>2.7997863354894799E-2</v>
      </c>
      <c r="S8">
        <v>6.5707916100650701E-2</v>
      </c>
      <c r="T8">
        <v>-1.1711603241280901E-2</v>
      </c>
      <c r="U8">
        <v>-0.123569554688038</v>
      </c>
      <c r="V8">
        <v>2.98269319405488E-2</v>
      </c>
      <c r="W8">
        <v>-6.3766906230334104E-3</v>
      </c>
      <c r="X8">
        <v>-7.0069008600259997E-2</v>
      </c>
      <c r="Y8">
        <v>0.254725442998951</v>
      </c>
      <c r="Z8">
        <v>-2.1831964813357502E-2</v>
      </c>
      <c r="AA8">
        <v>2.04111856871524E-3</v>
      </c>
      <c r="AB8">
        <v>7.0608278694622106E-2</v>
      </c>
      <c r="AC8">
        <v>-0.18955734994287399</v>
      </c>
      <c r="AD8">
        <v>-0.102114492922817</v>
      </c>
    </row>
    <row r="9" spans="1:30" x14ac:dyDescent="0.25">
      <c r="A9">
        <v>-7.8754402498283596E-2</v>
      </c>
      <c r="B9">
        <v>-4.1002222690424098E-2</v>
      </c>
      <c r="C9">
        <v>-0.15673139970133301</v>
      </c>
      <c r="D9">
        <v>4.1541750386232999E-2</v>
      </c>
      <c r="E9">
        <v>9.2546261461270596E-2</v>
      </c>
      <c r="F9">
        <v>-3.4779111261314999E-2</v>
      </c>
      <c r="G9">
        <v>0.120619798044298</v>
      </c>
      <c r="H9">
        <v>-4.0402948401311103E-2</v>
      </c>
      <c r="I9">
        <v>0</v>
      </c>
      <c r="J9" s="1">
        <v>7.2429361173914405E-5</v>
      </c>
      <c r="K9">
        <v>-1.62709251079678E-3</v>
      </c>
      <c r="L9">
        <v>-0.117939755160759</v>
      </c>
      <c r="M9">
        <v>-3.6290238599210198E-2</v>
      </c>
      <c r="N9">
        <v>0.10602684537196699</v>
      </c>
      <c r="O9">
        <v>-4.7989206130167897E-2</v>
      </c>
      <c r="P9">
        <v>-7.3099238181486299E-3</v>
      </c>
      <c r="Q9">
        <v>-0.15038470829894099</v>
      </c>
      <c r="R9">
        <v>0.123237220810199</v>
      </c>
      <c r="S9">
        <v>9.7861118863298902E-2</v>
      </c>
      <c r="T9">
        <v>0.13384252165775701</v>
      </c>
      <c r="U9">
        <v>5.4500961766982298E-2</v>
      </c>
      <c r="V9">
        <v>-1.4054432877043299E-2</v>
      </c>
      <c r="W9">
        <v>-3.3250578138330301E-2</v>
      </c>
      <c r="X9">
        <v>-4.4798106362762602E-2</v>
      </c>
      <c r="Y9">
        <v>-6.1651588655921401E-2</v>
      </c>
      <c r="Z9">
        <v>-5.3910357070061497E-2</v>
      </c>
      <c r="AA9">
        <v>7.8757930420074895E-2</v>
      </c>
      <c r="AB9">
        <v>-4.5335335208842802E-2</v>
      </c>
      <c r="AC9">
        <v>5.7335692947945403E-2</v>
      </c>
      <c r="AD9">
        <v>-2.7779978176157199E-3</v>
      </c>
    </row>
    <row r="10" spans="1:30" x14ac:dyDescent="0.25">
      <c r="A10">
        <v>0.124885725882574</v>
      </c>
      <c r="B10">
        <v>8.0883787136146898E-2</v>
      </c>
      <c r="C10">
        <v>-5.6996158124915597E-2</v>
      </c>
      <c r="D10">
        <v>-3.0214835786053999E-2</v>
      </c>
      <c r="E10">
        <v>-7.0575590263096399E-2</v>
      </c>
      <c r="F10">
        <v>-0.11093689507056401</v>
      </c>
      <c r="G10">
        <v>6.0628879497699802E-2</v>
      </c>
      <c r="H10">
        <v>7.8602816156788102E-2</v>
      </c>
      <c r="I10" s="1">
        <v>7.2429361173914405E-5</v>
      </c>
      <c r="J10">
        <v>0</v>
      </c>
      <c r="K10">
        <v>1.1768969330792E-3</v>
      </c>
      <c r="L10">
        <v>-7.8962532096384E-2</v>
      </c>
      <c r="M10">
        <v>0.12889108168189201</v>
      </c>
      <c r="N10">
        <v>9.5274565998855795E-2</v>
      </c>
      <c r="O10">
        <v>7.1255861815760504E-2</v>
      </c>
      <c r="P10">
        <v>-3.6929077122270303E-2</v>
      </c>
      <c r="Q10">
        <v>1.8268025035725499E-2</v>
      </c>
      <c r="R10">
        <v>0.10569215530065799</v>
      </c>
      <c r="S10">
        <v>8.1195378044882305E-2</v>
      </c>
      <c r="T10">
        <v>-2.59072194518488E-2</v>
      </c>
      <c r="U10">
        <v>-0.16604661152519601</v>
      </c>
      <c r="V10">
        <v>-9.5813588119856505E-2</v>
      </c>
      <c r="W10">
        <v>-3.4508782924654403E-2</v>
      </c>
      <c r="X10">
        <v>1.5068401015196299E-2</v>
      </c>
      <c r="Y10">
        <v>3.60162900427514E-3</v>
      </c>
      <c r="Z10">
        <v>2.88212271263192E-2</v>
      </c>
      <c r="AA10">
        <v>-4.2529232540718102E-2</v>
      </c>
      <c r="AB10">
        <v>4.8908153074820201E-2</v>
      </c>
      <c r="AC10">
        <v>-2.1513183548362898E-2</v>
      </c>
      <c r="AD10">
        <v>-0.13563428257499799</v>
      </c>
    </row>
    <row r="11" spans="1:30" x14ac:dyDescent="0.25">
      <c r="A11">
        <v>-3.1128708609431701E-2</v>
      </c>
      <c r="B11">
        <v>-1.0688439381582901E-3</v>
      </c>
      <c r="C11">
        <v>-7.8643268090226696E-3</v>
      </c>
      <c r="D11">
        <v>-3.7095314211639398E-2</v>
      </c>
      <c r="E11">
        <v>3.0290201410049001E-2</v>
      </c>
      <c r="F11">
        <v>-5.8345615808236599E-2</v>
      </c>
      <c r="G11">
        <v>-0.111107546852567</v>
      </c>
      <c r="H11">
        <v>-0.17898090803392699</v>
      </c>
      <c r="I11">
        <v>-1.62709251079678E-3</v>
      </c>
      <c r="J11">
        <v>1.1768969330792E-3</v>
      </c>
      <c r="K11">
        <v>0</v>
      </c>
      <c r="L11">
        <v>-0.13740257119687399</v>
      </c>
      <c r="M11">
        <v>0.24384451765169299</v>
      </c>
      <c r="N11">
        <v>-2.3907672943907901E-2</v>
      </c>
      <c r="O11">
        <v>9.5703010841248506E-2</v>
      </c>
      <c r="P11">
        <v>2.2201661747421799E-2</v>
      </c>
      <c r="Q11">
        <v>-2.13682924384597E-2</v>
      </c>
      <c r="R11">
        <v>-8.9614712481957196E-2</v>
      </c>
      <c r="S11">
        <v>-4.4678027747581901E-2</v>
      </c>
      <c r="T11">
        <v>2.9242601038055899E-2</v>
      </c>
      <c r="U11">
        <v>0.178336784780182</v>
      </c>
      <c r="V11">
        <v>-1.73880933084825E-2</v>
      </c>
      <c r="W11">
        <v>0.12545191844366099</v>
      </c>
      <c r="X11">
        <v>3.3887504451243201E-2</v>
      </c>
      <c r="Y11">
        <v>3.28720592416962E-2</v>
      </c>
      <c r="Z11">
        <v>-0.203087045116845</v>
      </c>
      <c r="AA11">
        <v>-4.0617574123376701E-3</v>
      </c>
      <c r="AB11">
        <v>8.2207680005063899E-2</v>
      </c>
      <c r="AC11">
        <v>2.7229973356253899E-2</v>
      </c>
      <c r="AD11">
        <v>0.12361299323901501</v>
      </c>
    </row>
    <row r="12" spans="1:30" x14ac:dyDescent="0.25">
      <c r="A12">
        <v>0.18996969917522999</v>
      </c>
      <c r="B12">
        <v>-0.124053474769504</v>
      </c>
      <c r="C12">
        <v>4.9725576899021198E-2</v>
      </c>
      <c r="D12">
        <v>6.6967309488448395E-2</v>
      </c>
      <c r="E12">
        <v>8.6083852321359802E-2</v>
      </c>
      <c r="F12">
        <v>-7.1051672840470606E-2</v>
      </c>
      <c r="G12">
        <v>6.8983377940910098E-2</v>
      </c>
      <c r="H12">
        <v>-6.7709812847049897E-2</v>
      </c>
      <c r="I12">
        <v>-0.117939755160759</v>
      </c>
      <c r="J12">
        <v>-7.8962532096384E-2</v>
      </c>
      <c r="K12">
        <v>-0.13740257119687399</v>
      </c>
      <c r="L12">
        <v>0</v>
      </c>
      <c r="M12">
        <v>9.3858453872330203E-2</v>
      </c>
      <c r="N12">
        <v>-8.6577327024996806E-2</v>
      </c>
      <c r="O12">
        <v>-9.7199408314729896E-2</v>
      </c>
      <c r="P12">
        <v>0.145695286982994</v>
      </c>
      <c r="Q12">
        <v>-1.6806818675510999E-2</v>
      </c>
      <c r="R12">
        <v>4.2683152300101501E-2</v>
      </c>
      <c r="S12">
        <v>8.6347677073822099E-2</v>
      </c>
      <c r="T12">
        <v>0.151219553258856</v>
      </c>
      <c r="U12">
        <v>3.5149342050005299E-2</v>
      </c>
      <c r="V12">
        <v>4.4126506658270399E-2</v>
      </c>
      <c r="W12">
        <v>-6.7246934352240106E-2</v>
      </c>
      <c r="X12">
        <v>1.05186506698348E-2</v>
      </c>
      <c r="Y12">
        <v>-5.1566779811004798E-2</v>
      </c>
      <c r="Z12">
        <v>9.356105713941E-2</v>
      </c>
      <c r="AA12">
        <v>-3.3653633299769302E-2</v>
      </c>
      <c r="AB12">
        <v>-4.1674803524535897E-2</v>
      </c>
      <c r="AC12">
        <v>-7.6328121132002297E-2</v>
      </c>
      <c r="AD12">
        <v>-0.20450262172405601</v>
      </c>
    </row>
    <row r="13" spans="1:30" x14ac:dyDescent="0.25">
      <c r="A13">
        <v>-3.0955535815938202E-2</v>
      </c>
      <c r="B13">
        <v>8.7444234219382494E-2</v>
      </c>
      <c r="C13">
        <v>-0.15645960004950199</v>
      </c>
      <c r="D13">
        <v>-6.6581726772408006E-2</v>
      </c>
      <c r="E13">
        <v>-4.7376288709038098E-3</v>
      </c>
      <c r="F13">
        <v>-0.111216935374118</v>
      </c>
      <c r="G13">
        <v>-1.57430358259706E-2</v>
      </c>
      <c r="H13">
        <v>-9.6704606499696394E-2</v>
      </c>
      <c r="I13">
        <v>-3.6290238599210198E-2</v>
      </c>
      <c r="J13">
        <v>0.12889108168189201</v>
      </c>
      <c r="K13">
        <v>0.24384451765169299</v>
      </c>
      <c r="L13">
        <v>9.3858453872330203E-2</v>
      </c>
      <c r="M13">
        <v>0</v>
      </c>
      <c r="N13">
        <v>-8.1389206730901206E-2</v>
      </c>
      <c r="O13">
        <v>1.9989126216773099E-2</v>
      </c>
      <c r="P13">
        <v>0.124442605939904</v>
      </c>
      <c r="Q13">
        <v>-4.3735409659187E-2</v>
      </c>
      <c r="R13">
        <v>7.7104604690627996E-3</v>
      </c>
      <c r="S13">
        <v>-6.5852264693648493E-2</v>
      </c>
      <c r="T13">
        <v>1.7381426925480899E-2</v>
      </c>
      <c r="U13">
        <v>9.0067288220014793E-2</v>
      </c>
      <c r="V13">
        <v>3.9087903919218202E-2</v>
      </c>
      <c r="W13">
        <v>0.100792823723187</v>
      </c>
      <c r="X13">
        <v>-0.102984778846493</v>
      </c>
      <c r="Y13">
        <v>-0.212849684595976</v>
      </c>
      <c r="Z13">
        <v>0.16213460021353401</v>
      </c>
      <c r="AA13">
        <v>6.7198948601115902E-2</v>
      </c>
      <c r="AB13">
        <v>-0.198797907650693</v>
      </c>
      <c r="AC13">
        <v>1.27678179643149E-2</v>
      </c>
      <c r="AD13">
        <v>-8.2549824092646093E-3</v>
      </c>
    </row>
    <row r="14" spans="1:30" x14ac:dyDescent="0.25">
      <c r="A14">
        <v>-5.4186039679592402E-2</v>
      </c>
      <c r="B14">
        <v>7.6267929710137503E-2</v>
      </c>
      <c r="C14">
        <v>-8.7747963802356693E-2</v>
      </c>
      <c r="D14">
        <v>-6.0192885624308998E-3</v>
      </c>
      <c r="E14">
        <v>4.0102420568540798E-2</v>
      </c>
      <c r="F14">
        <v>1.8131810101443199E-2</v>
      </c>
      <c r="G14">
        <v>6.9780531882788904E-2</v>
      </c>
      <c r="H14">
        <v>5.4907368053946401E-2</v>
      </c>
      <c r="I14">
        <v>0.10602684537196699</v>
      </c>
      <c r="J14">
        <v>9.5274565998855795E-2</v>
      </c>
      <c r="K14">
        <v>-2.3907672943907901E-2</v>
      </c>
      <c r="L14">
        <v>-8.6577327024996806E-2</v>
      </c>
      <c r="M14">
        <v>-8.1389206730901206E-2</v>
      </c>
      <c r="N14">
        <v>0</v>
      </c>
      <c r="O14">
        <v>2.0449648174944001E-2</v>
      </c>
      <c r="P14">
        <v>-5.1962426754856503E-2</v>
      </c>
      <c r="Q14">
        <v>-4.6829896735792902E-2</v>
      </c>
      <c r="R14">
        <v>-0.14325611318617201</v>
      </c>
      <c r="S14">
        <v>-9.7304557764711901E-3</v>
      </c>
      <c r="T14">
        <v>-2.2198444402005399E-2</v>
      </c>
      <c r="U14">
        <v>2.38981308722323E-2</v>
      </c>
      <c r="V14">
        <v>6.7257753799332298E-2</v>
      </c>
      <c r="W14">
        <v>7.8370583614916098E-2</v>
      </c>
      <c r="X14">
        <v>2.14432277959293E-2</v>
      </c>
      <c r="Y14">
        <v>-1.65596328843143E-2</v>
      </c>
      <c r="Z14">
        <v>3.31017034042623E-2</v>
      </c>
      <c r="AA14">
        <v>-8.0131986733085803E-2</v>
      </c>
      <c r="AB14">
        <v>6.83407860315374E-3</v>
      </c>
      <c r="AC14">
        <v>2.24954287708042E-2</v>
      </c>
      <c r="AD14">
        <v>-6.2847076906947394E-2</v>
      </c>
    </row>
    <row r="15" spans="1:30" x14ac:dyDescent="0.25">
      <c r="A15">
        <v>4.1346305373936298E-2</v>
      </c>
      <c r="B15">
        <v>3.6037640764921303E-2</v>
      </c>
      <c r="C15">
        <v>-6.06463123973221E-2</v>
      </c>
      <c r="D15">
        <v>-0.115629912261499</v>
      </c>
      <c r="E15">
        <v>-6.9824772479150005E-2</v>
      </c>
      <c r="F15">
        <v>-9.2425548488776904E-2</v>
      </c>
      <c r="G15">
        <v>6.5876289711937E-2</v>
      </c>
      <c r="H15">
        <v>-1.11425194316635E-2</v>
      </c>
      <c r="I15">
        <v>-4.7989206130167897E-2</v>
      </c>
      <c r="J15">
        <v>7.1255861815760504E-2</v>
      </c>
      <c r="K15">
        <v>9.5703010841248506E-2</v>
      </c>
      <c r="L15">
        <v>-9.7199408314729896E-2</v>
      </c>
      <c r="M15">
        <v>1.9989126216773099E-2</v>
      </c>
      <c r="N15">
        <v>2.0449648174944001E-2</v>
      </c>
      <c r="O15">
        <v>0</v>
      </c>
      <c r="P15">
        <v>-5.7254512842326202E-2</v>
      </c>
      <c r="Q15">
        <v>-5.1743632788018697E-2</v>
      </c>
      <c r="R15">
        <v>5.4397598412758902E-2</v>
      </c>
      <c r="S15">
        <v>-6.4673952209684499E-2</v>
      </c>
      <c r="T15">
        <v>-6.2878087235558502E-2</v>
      </c>
      <c r="U15">
        <v>-4.13201061364789E-2</v>
      </c>
      <c r="V15">
        <v>1.88183779376065E-2</v>
      </c>
      <c r="W15">
        <v>3.2881913883950598E-3</v>
      </c>
      <c r="X15">
        <v>-5.59378072953019E-2</v>
      </c>
      <c r="Y15">
        <v>0.12320918661274</v>
      </c>
      <c r="Z15">
        <v>0.17695026706637099</v>
      </c>
      <c r="AA15">
        <v>0.105671201914533</v>
      </c>
      <c r="AB15">
        <v>-8.2331033373010995E-2</v>
      </c>
      <c r="AC15">
        <v>7.4919729918408007E-2</v>
      </c>
      <c r="AD15">
        <v>-6.6660022842734007E-2</v>
      </c>
    </row>
    <row r="16" spans="1:30" x14ac:dyDescent="0.25">
      <c r="A16">
        <v>-1.7663563496183601E-2</v>
      </c>
      <c r="B16">
        <v>-0.17461346909032899</v>
      </c>
      <c r="C16">
        <v>-7.6471149051853496E-2</v>
      </c>
      <c r="D16">
        <v>9.2132966439133403E-3</v>
      </c>
      <c r="E16">
        <v>-0.124368973772678</v>
      </c>
      <c r="F16">
        <v>9.1124941372930202E-2</v>
      </c>
      <c r="G16">
        <v>5.4811577922552E-2</v>
      </c>
      <c r="H16">
        <v>0.129107132895902</v>
      </c>
      <c r="I16">
        <v>-7.3099238181486299E-3</v>
      </c>
      <c r="J16">
        <v>-3.6929077122270303E-2</v>
      </c>
      <c r="K16">
        <v>2.2201661747421799E-2</v>
      </c>
      <c r="L16">
        <v>0.145695286982994</v>
      </c>
      <c r="M16">
        <v>0.124442605939904</v>
      </c>
      <c r="N16">
        <v>-5.1962426754856503E-2</v>
      </c>
      <c r="O16">
        <v>-5.7254512842326202E-2</v>
      </c>
      <c r="P16">
        <v>0</v>
      </c>
      <c r="Q16">
        <v>1.07524410518393E-2</v>
      </c>
      <c r="R16">
        <v>-2.2234813419330202E-2</v>
      </c>
      <c r="S16">
        <v>5.9441013688490995E-4</v>
      </c>
      <c r="T16">
        <v>-0.103587078855401</v>
      </c>
      <c r="U16">
        <v>0.101036921703062</v>
      </c>
      <c r="V16">
        <v>-0.10895245374691299</v>
      </c>
      <c r="W16">
        <v>-2.40149408969326E-2</v>
      </c>
      <c r="X16">
        <v>0.12111885077647</v>
      </c>
      <c r="Y16">
        <v>-5.5222695408423603E-2</v>
      </c>
      <c r="Z16">
        <v>5.12881789868221E-2</v>
      </c>
      <c r="AA16">
        <v>-3.04142187951459E-2</v>
      </c>
      <c r="AB16">
        <v>0.152116682468212</v>
      </c>
      <c r="AC16">
        <v>-0.123538384601136</v>
      </c>
      <c r="AD16">
        <v>3.53313762625731E-2</v>
      </c>
    </row>
    <row r="17" spans="1:30" x14ac:dyDescent="0.25">
      <c r="A17">
        <v>3.9729557011197299E-2</v>
      </c>
      <c r="B17">
        <v>-4.2092839234905102E-2</v>
      </c>
      <c r="C17">
        <v>-0.14618396182044799</v>
      </c>
      <c r="D17">
        <v>7.8226529834731703E-2</v>
      </c>
      <c r="E17">
        <v>2.5517944783135699E-2</v>
      </c>
      <c r="F17">
        <v>5.8913357916996797E-2</v>
      </c>
      <c r="G17">
        <v>-5.0989985633881303E-2</v>
      </c>
      <c r="H17">
        <v>2.65740596426669E-4</v>
      </c>
      <c r="I17">
        <v>-0.15038470829894099</v>
      </c>
      <c r="J17">
        <v>1.8268025035725499E-2</v>
      </c>
      <c r="K17">
        <v>-2.13682924384597E-2</v>
      </c>
      <c r="L17">
        <v>-1.6806818675510999E-2</v>
      </c>
      <c r="M17">
        <v>-4.3735409659187E-2</v>
      </c>
      <c r="N17">
        <v>-4.6829896735792902E-2</v>
      </c>
      <c r="O17">
        <v>-5.1743632788018697E-2</v>
      </c>
      <c r="P17">
        <v>1.07524410518393E-2</v>
      </c>
      <c r="Q17">
        <v>0</v>
      </c>
      <c r="R17">
        <v>3.7001891589486302E-2</v>
      </c>
      <c r="S17">
        <v>-1.7881464784100298E-2</v>
      </c>
      <c r="T17">
        <v>4.6380533854029397E-2</v>
      </c>
      <c r="U17">
        <v>0.12647698736225299</v>
      </c>
      <c r="V17">
        <v>-4.6825565140407303E-2</v>
      </c>
      <c r="W17">
        <v>4.59711820367412E-2</v>
      </c>
      <c r="X17">
        <v>-5.4941328697656E-2</v>
      </c>
      <c r="Y17">
        <v>9.67158648842079E-2</v>
      </c>
      <c r="Z17">
        <v>3.14727855505995E-2</v>
      </c>
      <c r="AA17">
        <v>2.8631044120986299E-2</v>
      </c>
      <c r="AB17">
        <v>1.9549383900513102E-2</v>
      </c>
      <c r="AC17">
        <v>-4.2794586460384802E-2</v>
      </c>
      <c r="AD17">
        <v>-2.4992175645201999E-3</v>
      </c>
    </row>
    <row r="18" spans="1:30" x14ac:dyDescent="0.25">
      <c r="A18">
        <v>-2.43016275420424E-2</v>
      </c>
      <c r="B18">
        <v>-0.13097482386734599</v>
      </c>
      <c r="C18">
        <v>-5.2697375124799002E-2</v>
      </c>
      <c r="D18">
        <v>-3.6133468976353701E-2</v>
      </c>
      <c r="E18">
        <v>2.7787695868327199E-2</v>
      </c>
      <c r="F18">
        <v>0.13858222224287001</v>
      </c>
      <c r="G18">
        <v>-0.151693324090486</v>
      </c>
      <c r="H18">
        <v>2.7997863354894799E-2</v>
      </c>
      <c r="I18">
        <v>0.123237220810199</v>
      </c>
      <c r="J18">
        <v>0.10569215530065799</v>
      </c>
      <c r="K18">
        <v>-8.9614712481957196E-2</v>
      </c>
      <c r="L18">
        <v>4.2683152300101501E-2</v>
      </c>
      <c r="M18">
        <v>7.7104604690627996E-3</v>
      </c>
      <c r="N18">
        <v>-0.14325611318617201</v>
      </c>
      <c r="O18">
        <v>5.4397598412758902E-2</v>
      </c>
      <c r="P18">
        <v>-2.2234813419330202E-2</v>
      </c>
      <c r="Q18">
        <v>3.7001891589486302E-2</v>
      </c>
      <c r="R18">
        <v>0</v>
      </c>
      <c r="S18">
        <v>0.159240546974624</v>
      </c>
      <c r="T18">
        <v>-3.4135542771859102E-2</v>
      </c>
      <c r="U18">
        <v>3.8024763692575597E-2</v>
      </c>
      <c r="V18">
        <v>-3.9892655390366398E-2</v>
      </c>
      <c r="W18">
        <v>-4.2310793947044102E-2</v>
      </c>
      <c r="X18">
        <v>7.1967291314085302E-2</v>
      </c>
      <c r="Y18">
        <v>-0.11067570574010201</v>
      </c>
      <c r="Z18">
        <v>-2.1255684931656402E-2</v>
      </c>
      <c r="AA18">
        <v>0.124267416615763</v>
      </c>
      <c r="AB18">
        <v>4.0080905742800897E-2</v>
      </c>
      <c r="AC18">
        <v>2.9054920676785702E-3</v>
      </c>
      <c r="AD18">
        <v>-8.3743238024558395E-2</v>
      </c>
    </row>
    <row r="19" spans="1:30" x14ac:dyDescent="0.25">
      <c r="A19">
        <v>-3.1253547505661401E-2</v>
      </c>
      <c r="B19">
        <v>0.104554453172173</v>
      </c>
      <c r="C19">
        <v>-9.2853709105855803E-2</v>
      </c>
      <c r="D19">
        <v>4.5747949006693801E-2</v>
      </c>
      <c r="E19">
        <v>0.16156174145935601</v>
      </c>
      <c r="F19">
        <v>1.4236936612041E-2</v>
      </c>
      <c r="G19">
        <v>5.16133084092502E-2</v>
      </c>
      <c r="H19">
        <v>6.5707916100650701E-2</v>
      </c>
      <c r="I19">
        <v>9.7861118863298902E-2</v>
      </c>
      <c r="J19">
        <v>8.1195378044882305E-2</v>
      </c>
      <c r="K19">
        <v>-4.4678027747581901E-2</v>
      </c>
      <c r="L19">
        <v>8.6347677073822099E-2</v>
      </c>
      <c r="M19">
        <v>-6.5852264693648493E-2</v>
      </c>
      <c r="N19">
        <v>-9.7304557764711901E-3</v>
      </c>
      <c r="O19">
        <v>-6.4673952209684499E-2</v>
      </c>
      <c r="P19">
        <v>5.9441013688490995E-4</v>
      </c>
      <c r="Q19">
        <v>-1.7881464784100298E-2</v>
      </c>
      <c r="R19">
        <v>0.159240546974624</v>
      </c>
      <c r="S19">
        <v>0</v>
      </c>
      <c r="T19">
        <v>-6.8517596948461601E-2</v>
      </c>
      <c r="U19">
        <v>4.71915626261993E-2</v>
      </c>
      <c r="V19">
        <v>-7.5547817769963402E-2</v>
      </c>
      <c r="W19">
        <v>-5.3724999956010402E-3</v>
      </c>
      <c r="X19">
        <v>7.7481463772681794E-2</v>
      </c>
      <c r="Y19">
        <v>-0.12013071594062801</v>
      </c>
      <c r="Z19">
        <v>-0.109585393963092</v>
      </c>
      <c r="AA19">
        <v>-9.9619090447422898E-2</v>
      </c>
      <c r="AB19">
        <v>-0.159473652657901</v>
      </c>
      <c r="AC19">
        <v>-4.9768410071591399E-2</v>
      </c>
      <c r="AD19">
        <v>2.2774886571255901E-2</v>
      </c>
    </row>
    <row r="20" spans="1:30" x14ac:dyDescent="0.25">
      <c r="A20">
        <v>-5.01564329352715E-2</v>
      </c>
      <c r="B20">
        <v>-8.7374474195530596E-3</v>
      </c>
      <c r="C20">
        <v>3.3080943787964702E-2</v>
      </c>
      <c r="D20">
        <v>-0.10329894756062299</v>
      </c>
      <c r="E20">
        <v>1.8514452305627101E-2</v>
      </c>
      <c r="F20">
        <v>-0.151730837334805</v>
      </c>
      <c r="G20">
        <v>-5.0095110678555703E-2</v>
      </c>
      <c r="H20">
        <v>-1.1711603241280901E-2</v>
      </c>
      <c r="I20">
        <v>0.13384252165775701</v>
      </c>
      <c r="J20">
        <v>-2.59072194518488E-2</v>
      </c>
      <c r="K20">
        <v>2.9242601038055899E-2</v>
      </c>
      <c r="L20">
        <v>0.151219553258856</v>
      </c>
      <c r="M20">
        <v>1.7381426925480899E-2</v>
      </c>
      <c r="N20">
        <v>-2.2198444402005399E-2</v>
      </c>
      <c r="O20">
        <v>-6.2878087235558502E-2</v>
      </c>
      <c r="P20">
        <v>-0.103587078855401</v>
      </c>
      <c r="Q20">
        <v>4.6380533854029397E-2</v>
      </c>
      <c r="R20">
        <v>-3.4135542771859102E-2</v>
      </c>
      <c r="S20">
        <v>-6.8517596948461601E-2</v>
      </c>
      <c r="T20">
        <v>0</v>
      </c>
      <c r="U20">
        <v>-8.0298254531902896E-2</v>
      </c>
      <c r="V20">
        <v>7.7101281532809707E-2</v>
      </c>
      <c r="W20">
        <v>-1.21343034304448E-2</v>
      </c>
      <c r="X20">
        <v>4.6560328274533998E-2</v>
      </c>
      <c r="Y20">
        <v>0.14115480464799701</v>
      </c>
      <c r="Z20">
        <v>0.12953832580680699</v>
      </c>
      <c r="AA20">
        <v>-9.5211733101748797E-2</v>
      </c>
      <c r="AB20">
        <v>9.1676761059983097E-2</v>
      </c>
      <c r="AC20">
        <v>0.10789580123449</v>
      </c>
      <c r="AD20">
        <v>-0.116100998263508</v>
      </c>
    </row>
    <row r="21" spans="1:30" x14ac:dyDescent="0.25">
      <c r="A21">
        <v>0.14479240824589301</v>
      </c>
      <c r="B21">
        <v>8.4784183198508806E-2</v>
      </c>
      <c r="C21">
        <v>2.7353110657148402E-2</v>
      </c>
      <c r="D21">
        <v>1.16220031429295E-2</v>
      </c>
      <c r="E21">
        <v>3.4840968643147598E-2</v>
      </c>
      <c r="F21">
        <v>-1.9590450187767901E-2</v>
      </c>
      <c r="G21">
        <v>4.26721685204886E-2</v>
      </c>
      <c r="H21">
        <v>-0.123569554688038</v>
      </c>
      <c r="I21">
        <v>5.4500961766982298E-2</v>
      </c>
      <c r="J21">
        <v>-0.16604661152519601</v>
      </c>
      <c r="K21">
        <v>0.178336784780182</v>
      </c>
      <c r="L21">
        <v>3.5149342050005299E-2</v>
      </c>
      <c r="M21">
        <v>9.0067288220014793E-2</v>
      </c>
      <c r="N21">
        <v>2.38981308722323E-2</v>
      </c>
      <c r="O21">
        <v>-4.13201061364789E-2</v>
      </c>
      <c r="P21">
        <v>0.101036921703062</v>
      </c>
      <c r="Q21">
        <v>0.12647698736225299</v>
      </c>
      <c r="R21">
        <v>3.8024763692575597E-2</v>
      </c>
      <c r="S21">
        <v>4.71915626261993E-2</v>
      </c>
      <c r="T21">
        <v>-8.0298254531902896E-2</v>
      </c>
      <c r="U21">
        <v>0</v>
      </c>
      <c r="V21">
        <v>-5.2808362043108001E-2</v>
      </c>
      <c r="W21">
        <v>-0.27701062740870802</v>
      </c>
      <c r="X21">
        <v>5.4337159421204699E-2</v>
      </c>
      <c r="Y21">
        <v>-0.159230142388015</v>
      </c>
      <c r="Z21">
        <v>-5.2465468124735397E-2</v>
      </c>
      <c r="AA21">
        <v>-9.9530174823183604E-2</v>
      </c>
      <c r="AB21">
        <v>7.3386763407341696E-2</v>
      </c>
      <c r="AC21">
        <v>0.101459926100796</v>
      </c>
      <c r="AD21">
        <v>-0.11484852452446</v>
      </c>
    </row>
    <row r="22" spans="1:30" x14ac:dyDescent="0.25">
      <c r="A22">
        <v>2.2629882989627301E-2</v>
      </c>
      <c r="B22">
        <v>-6.3267267678244504E-2</v>
      </c>
      <c r="C22">
        <v>0.243941792949015</v>
      </c>
      <c r="D22">
        <v>-0.12371687030453</v>
      </c>
      <c r="E22">
        <v>9.0744208890530895E-3</v>
      </c>
      <c r="F22">
        <v>7.2285710484983307E-2</v>
      </c>
      <c r="G22">
        <v>8.2419506914630999E-2</v>
      </c>
      <c r="H22">
        <v>2.98269319405488E-2</v>
      </c>
      <c r="I22">
        <v>-1.4054432877043299E-2</v>
      </c>
      <c r="J22">
        <v>-9.5813588119856505E-2</v>
      </c>
      <c r="K22">
        <v>-1.73880933084825E-2</v>
      </c>
      <c r="L22">
        <v>4.4126506658270399E-2</v>
      </c>
      <c r="M22">
        <v>3.9087903919218202E-2</v>
      </c>
      <c r="N22">
        <v>6.7257753799332298E-2</v>
      </c>
      <c r="O22">
        <v>1.88183779376065E-2</v>
      </c>
      <c r="P22">
        <v>-0.10895245374691299</v>
      </c>
      <c r="Q22">
        <v>-4.6825565140407303E-2</v>
      </c>
      <c r="R22">
        <v>-3.9892655390366398E-2</v>
      </c>
      <c r="S22">
        <v>-7.5547817769963402E-2</v>
      </c>
      <c r="T22">
        <v>7.7101281532809707E-2</v>
      </c>
      <c r="U22">
        <v>-5.2808362043108001E-2</v>
      </c>
      <c r="V22">
        <v>0</v>
      </c>
      <c r="W22">
        <v>2.4541779657994499E-2</v>
      </c>
      <c r="X22">
        <v>5.4385932753875099E-2</v>
      </c>
      <c r="Y22">
        <v>3.1388745887125702E-2</v>
      </c>
      <c r="Z22">
        <v>-0.112365924100677</v>
      </c>
      <c r="AA22">
        <v>-2.7460353359585198E-2</v>
      </c>
      <c r="AB22">
        <v>3.6283190985625699E-2</v>
      </c>
      <c r="AC22">
        <v>-5.9788708637605201E-2</v>
      </c>
      <c r="AD22">
        <v>-4.8991633294275597E-2</v>
      </c>
    </row>
    <row r="23" spans="1:30" x14ac:dyDescent="0.25">
      <c r="A23">
        <v>-3.8748748588827903E-2</v>
      </c>
      <c r="B23">
        <v>-3.29786298588511E-3</v>
      </c>
      <c r="C23">
        <v>0.106691867351067</v>
      </c>
      <c r="D23">
        <v>1.2121968638520201E-2</v>
      </c>
      <c r="E23">
        <v>4.1547031223496601E-2</v>
      </c>
      <c r="F23">
        <v>1.36637973285594E-2</v>
      </c>
      <c r="G23">
        <v>-2.7384147373564E-2</v>
      </c>
      <c r="H23">
        <v>-6.3766906230334104E-3</v>
      </c>
      <c r="I23">
        <v>-3.3250578138330301E-2</v>
      </c>
      <c r="J23">
        <v>-3.4508782924654403E-2</v>
      </c>
      <c r="K23">
        <v>0.12545191844366099</v>
      </c>
      <c r="L23">
        <v>-6.7246934352240106E-2</v>
      </c>
      <c r="M23">
        <v>0.100792823723187</v>
      </c>
      <c r="N23">
        <v>7.8370583614916098E-2</v>
      </c>
      <c r="O23">
        <v>3.2881913883950598E-3</v>
      </c>
      <c r="P23">
        <v>-2.40149408969326E-2</v>
      </c>
      <c r="Q23">
        <v>4.59711820367412E-2</v>
      </c>
      <c r="R23">
        <v>-4.2310793947044102E-2</v>
      </c>
      <c r="S23">
        <v>-5.3724999956010402E-3</v>
      </c>
      <c r="T23">
        <v>-1.21343034304448E-2</v>
      </c>
      <c r="U23">
        <v>-0.27701062740870802</v>
      </c>
      <c r="V23">
        <v>2.4541779657994499E-2</v>
      </c>
      <c r="W23">
        <v>0</v>
      </c>
      <c r="X23">
        <v>-3.4678634422742903E-2</v>
      </c>
      <c r="Y23">
        <v>-3.5370012230647403E-2</v>
      </c>
      <c r="Z23">
        <v>-0.142499714840434</v>
      </c>
      <c r="AA23">
        <v>0.204535780943294</v>
      </c>
      <c r="AB23">
        <v>6.10792255618789E-3</v>
      </c>
      <c r="AC23">
        <v>4.1904762837909698E-2</v>
      </c>
      <c r="AD23">
        <v>-1.83398260593126E-2</v>
      </c>
    </row>
    <row r="24" spans="1:30" x14ac:dyDescent="0.25">
      <c r="A24">
        <v>-6.5054215736951401E-2</v>
      </c>
      <c r="B24">
        <v>-0.17459324225171499</v>
      </c>
      <c r="C24">
        <v>-6.7878164524180204E-2</v>
      </c>
      <c r="D24">
        <v>0.15439757027751899</v>
      </c>
      <c r="E24">
        <v>-0.12485955485896399</v>
      </c>
      <c r="F24">
        <v>7.4677284190019205E-2</v>
      </c>
      <c r="G24">
        <v>8.89178226098985E-2</v>
      </c>
      <c r="H24">
        <v>-7.0069008600259997E-2</v>
      </c>
      <c r="I24">
        <v>-4.4798106362762602E-2</v>
      </c>
      <c r="J24">
        <v>1.5068401015196299E-2</v>
      </c>
      <c r="K24">
        <v>3.3887504451243201E-2</v>
      </c>
      <c r="L24">
        <v>1.05186506698348E-2</v>
      </c>
      <c r="M24">
        <v>-0.102984778846493</v>
      </c>
      <c r="N24">
        <v>2.14432277959293E-2</v>
      </c>
      <c r="O24">
        <v>-5.59378072953019E-2</v>
      </c>
      <c r="P24">
        <v>0.12111885077647</v>
      </c>
      <c r="Q24">
        <v>-5.4941328697656E-2</v>
      </c>
      <c r="R24">
        <v>7.1967291314085302E-2</v>
      </c>
      <c r="S24">
        <v>7.7481463772681794E-2</v>
      </c>
      <c r="T24">
        <v>4.6560328274533998E-2</v>
      </c>
      <c r="U24">
        <v>5.4337159421204699E-2</v>
      </c>
      <c r="V24">
        <v>5.4385932753875099E-2</v>
      </c>
      <c r="W24">
        <v>-3.4678634422742903E-2</v>
      </c>
      <c r="X24">
        <v>0</v>
      </c>
      <c r="Y24">
        <v>1.3557034179460701E-2</v>
      </c>
      <c r="Z24">
        <v>-0.13969746882578199</v>
      </c>
      <c r="AA24">
        <v>5.2160142110356703E-2</v>
      </c>
      <c r="AB24">
        <v>8.5341597185030205E-2</v>
      </c>
      <c r="AC24">
        <v>-1.1675798609745901E-2</v>
      </c>
      <c r="AD24">
        <v>9.5694379648212004E-3</v>
      </c>
    </row>
    <row r="25" spans="1:30" x14ac:dyDescent="0.25">
      <c r="A25">
        <v>-8.3886556204878199E-2</v>
      </c>
      <c r="B25">
        <v>0.148299296379069</v>
      </c>
      <c r="C25">
        <v>-1.1585569022472601E-2</v>
      </c>
      <c r="D25">
        <v>8.66319141453578E-2</v>
      </c>
      <c r="E25">
        <v>5.2052656423729603E-2</v>
      </c>
      <c r="F25">
        <v>2.1512556557953599E-2</v>
      </c>
      <c r="G25">
        <v>2.1338758590876701E-2</v>
      </c>
      <c r="H25">
        <v>0.254725442998951</v>
      </c>
      <c r="I25">
        <v>-6.1651588655921401E-2</v>
      </c>
      <c r="J25">
        <v>3.60162900427514E-3</v>
      </c>
      <c r="K25">
        <v>3.28720592416962E-2</v>
      </c>
      <c r="L25">
        <v>-5.1566779811004798E-2</v>
      </c>
      <c r="M25">
        <v>-0.212849684595976</v>
      </c>
      <c r="N25">
        <v>-1.65596328843143E-2</v>
      </c>
      <c r="O25">
        <v>0.12320918661274</v>
      </c>
      <c r="P25">
        <v>-5.5222695408423603E-2</v>
      </c>
      <c r="Q25">
        <v>9.67158648842079E-2</v>
      </c>
      <c r="R25">
        <v>-0.11067570574010201</v>
      </c>
      <c r="S25">
        <v>-0.12013071594062801</v>
      </c>
      <c r="T25">
        <v>0.14115480464799701</v>
      </c>
      <c r="U25">
        <v>-0.159230142388015</v>
      </c>
      <c r="V25">
        <v>3.1388745887125702E-2</v>
      </c>
      <c r="W25">
        <v>-3.5370012230647403E-2</v>
      </c>
      <c r="X25">
        <v>1.3557034179460701E-2</v>
      </c>
      <c r="Y25">
        <v>0</v>
      </c>
      <c r="Z25">
        <v>3.9431020490760603E-2</v>
      </c>
      <c r="AA25">
        <v>-1.68426706699411E-2</v>
      </c>
      <c r="AB25">
        <v>-8.9772972753003694E-2</v>
      </c>
      <c r="AC25">
        <v>-0.116596832991955</v>
      </c>
      <c r="AD25">
        <v>7.5127429727879598E-3</v>
      </c>
    </row>
    <row r="26" spans="1:30" x14ac:dyDescent="0.25">
      <c r="A26">
        <v>8.8876636992446301E-2</v>
      </c>
      <c r="B26">
        <v>-0.135216643024511</v>
      </c>
      <c r="C26">
        <v>2.3165929271802901E-2</v>
      </c>
      <c r="D26">
        <v>-7.3107504107125507E-2</v>
      </c>
      <c r="E26">
        <v>-2.1974529809592701E-2</v>
      </c>
      <c r="F26">
        <v>-9.2340579846731302E-2</v>
      </c>
      <c r="G26">
        <v>0.15020699275302099</v>
      </c>
      <c r="H26">
        <v>-2.1831964813357502E-2</v>
      </c>
      <c r="I26">
        <v>-5.3910357070061497E-2</v>
      </c>
      <c r="J26">
        <v>2.88212271263192E-2</v>
      </c>
      <c r="K26">
        <v>-0.203087045116845</v>
      </c>
      <c r="L26">
        <v>9.356105713941E-2</v>
      </c>
      <c r="M26">
        <v>0.16213460021353401</v>
      </c>
      <c r="N26">
        <v>3.31017034042623E-2</v>
      </c>
      <c r="O26">
        <v>0.17695026706637099</v>
      </c>
      <c r="P26">
        <v>5.12881789868221E-2</v>
      </c>
      <c r="Q26">
        <v>3.14727855505995E-2</v>
      </c>
      <c r="R26">
        <v>-2.1255684931656402E-2</v>
      </c>
      <c r="S26">
        <v>-0.109585393963092</v>
      </c>
      <c r="T26">
        <v>0.12953832580680699</v>
      </c>
      <c r="U26">
        <v>-5.2465468124735397E-2</v>
      </c>
      <c r="V26">
        <v>-0.112365924100677</v>
      </c>
      <c r="W26">
        <v>-0.142499714840434</v>
      </c>
      <c r="X26">
        <v>-0.13969746882578199</v>
      </c>
      <c r="Y26">
        <v>3.9431020490760603E-2</v>
      </c>
      <c r="Z26">
        <v>0</v>
      </c>
      <c r="AA26">
        <v>-7.5772357159686901E-2</v>
      </c>
      <c r="AB26">
        <v>-1.62872106659396E-3</v>
      </c>
      <c r="AC26">
        <v>-2.6928332409599399E-2</v>
      </c>
      <c r="AD26">
        <v>0.13985005216167001</v>
      </c>
    </row>
    <row r="27" spans="1:30" x14ac:dyDescent="0.25">
      <c r="A27">
        <v>-0.14514950633340601</v>
      </c>
      <c r="B27">
        <v>0.28789034688082299</v>
      </c>
      <c r="C27">
        <v>-7.0217908878039198E-3</v>
      </c>
      <c r="D27">
        <v>7.3493952064137202E-3</v>
      </c>
      <c r="E27">
        <v>-3.69081010735864E-2</v>
      </c>
      <c r="F27">
        <v>-4.1916789110173401E-2</v>
      </c>
      <c r="G27">
        <v>-6.72036934630173E-2</v>
      </c>
      <c r="H27">
        <v>2.04111856871524E-3</v>
      </c>
      <c r="I27">
        <v>7.8757930420074895E-2</v>
      </c>
      <c r="J27">
        <v>-4.2529232540718102E-2</v>
      </c>
      <c r="K27">
        <v>-4.0617574123376701E-3</v>
      </c>
      <c r="L27">
        <v>-3.3653633299769302E-2</v>
      </c>
      <c r="M27">
        <v>6.7198948601115902E-2</v>
      </c>
      <c r="N27">
        <v>-8.0131986733085803E-2</v>
      </c>
      <c r="O27">
        <v>0.105671201914533</v>
      </c>
      <c r="P27">
        <v>-3.04142187951459E-2</v>
      </c>
      <c r="Q27">
        <v>2.8631044120986299E-2</v>
      </c>
      <c r="R27">
        <v>0.124267416615763</v>
      </c>
      <c r="S27">
        <v>-9.9619090447422898E-2</v>
      </c>
      <c r="T27">
        <v>-9.5211733101748797E-2</v>
      </c>
      <c r="U27">
        <v>-9.9530174823183604E-2</v>
      </c>
      <c r="V27">
        <v>-2.7460353359585198E-2</v>
      </c>
      <c r="W27">
        <v>0.204535780943294</v>
      </c>
      <c r="X27">
        <v>5.2160142110356703E-2</v>
      </c>
      <c r="Y27">
        <v>-1.68426706699411E-2</v>
      </c>
      <c r="Z27">
        <v>-7.5772357159686901E-2</v>
      </c>
      <c r="AA27">
        <v>0</v>
      </c>
      <c r="AB27">
        <v>-1.5049815730513999E-2</v>
      </c>
      <c r="AC27">
        <v>-2.77430105031818E-2</v>
      </c>
      <c r="AD27">
        <v>-0.13629445161245901</v>
      </c>
    </row>
    <row r="28" spans="1:30" x14ac:dyDescent="0.25">
      <c r="A28">
        <v>3.5226149589908197E-2</v>
      </c>
      <c r="B28">
        <v>-1.5710057895457399E-2</v>
      </c>
      <c r="C28">
        <v>3.1923892580800597E-2</v>
      </c>
      <c r="D28">
        <v>1.5609897795380301E-2</v>
      </c>
      <c r="E28">
        <v>2.4315133436501799E-2</v>
      </c>
      <c r="F28">
        <v>2.2100992572782599E-2</v>
      </c>
      <c r="G28">
        <v>-8.5292482182346405E-2</v>
      </c>
      <c r="H28">
        <v>7.0608278694622106E-2</v>
      </c>
      <c r="I28">
        <v>-4.5335335208842802E-2</v>
      </c>
      <c r="J28">
        <v>4.8908153074820201E-2</v>
      </c>
      <c r="K28">
        <v>8.2207680005063899E-2</v>
      </c>
      <c r="L28">
        <v>-4.1674803524535897E-2</v>
      </c>
      <c r="M28">
        <v>-0.198797907650693</v>
      </c>
      <c r="N28">
        <v>6.83407860315374E-3</v>
      </c>
      <c r="O28">
        <v>-8.2331033373010995E-2</v>
      </c>
      <c r="P28">
        <v>0.152116682468212</v>
      </c>
      <c r="Q28">
        <v>1.9549383900513102E-2</v>
      </c>
      <c r="R28">
        <v>4.0080905742800897E-2</v>
      </c>
      <c r="S28">
        <v>-0.159473652657901</v>
      </c>
      <c r="T28">
        <v>9.1676761059983097E-2</v>
      </c>
      <c r="U28">
        <v>7.3386763407341696E-2</v>
      </c>
      <c r="V28">
        <v>3.6283190985625699E-2</v>
      </c>
      <c r="W28">
        <v>6.10792255618789E-3</v>
      </c>
      <c r="X28">
        <v>8.5341597185030205E-2</v>
      </c>
      <c r="Y28">
        <v>-8.9772972753003694E-2</v>
      </c>
      <c r="Z28">
        <v>-1.62872106659396E-3</v>
      </c>
      <c r="AA28">
        <v>-1.5049815730513999E-2</v>
      </c>
      <c r="AB28">
        <v>0</v>
      </c>
      <c r="AC28">
        <v>-5.7807929258840797E-2</v>
      </c>
      <c r="AD28">
        <v>7.5633275467161198E-2</v>
      </c>
    </row>
    <row r="29" spans="1:30" x14ac:dyDescent="0.25">
      <c r="A29">
        <v>1.1521859238910401E-2</v>
      </c>
      <c r="B29">
        <v>-2.00560387246164E-2</v>
      </c>
      <c r="C29">
        <v>6.10584023838995E-2</v>
      </c>
      <c r="D29">
        <v>4.9723454265797301E-2</v>
      </c>
      <c r="E29">
        <v>5.5536588158476799E-2</v>
      </c>
      <c r="F29">
        <v>0.15580579987253601</v>
      </c>
      <c r="G29">
        <v>-5.98125263804307E-3</v>
      </c>
      <c r="H29">
        <v>-0.18955734994287399</v>
      </c>
      <c r="I29">
        <v>5.7335692947945403E-2</v>
      </c>
      <c r="J29">
        <v>-2.1513183548362898E-2</v>
      </c>
      <c r="K29">
        <v>2.7229973356253899E-2</v>
      </c>
      <c r="L29">
        <v>-7.6328121132002297E-2</v>
      </c>
      <c r="M29">
        <v>1.27678179643149E-2</v>
      </c>
      <c r="N29">
        <v>2.24954287708042E-2</v>
      </c>
      <c r="O29">
        <v>7.4919729918408007E-2</v>
      </c>
      <c r="P29">
        <v>-0.123538384601136</v>
      </c>
      <c r="Q29">
        <v>-4.2794586460384802E-2</v>
      </c>
      <c r="R29">
        <v>2.9054920676785702E-3</v>
      </c>
      <c r="S29">
        <v>-4.9768410071591399E-2</v>
      </c>
      <c r="T29">
        <v>0.10789580123449</v>
      </c>
      <c r="U29">
        <v>0.101459926100796</v>
      </c>
      <c r="V29">
        <v>-5.9788708637605201E-2</v>
      </c>
      <c r="W29">
        <v>4.1904762837909698E-2</v>
      </c>
      <c r="X29">
        <v>-1.1675798609745901E-2</v>
      </c>
      <c r="Y29">
        <v>-0.116596832991955</v>
      </c>
      <c r="Z29">
        <v>-2.6928332409599399E-2</v>
      </c>
      <c r="AA29">
        <v>-2.77430105031818E-2</v>
      </c>
      <c r="AB29">
        <v>-5.7807929258840797E-2</v>
      </c>
      <c r="AC29">
        <v>0</v>
      </c>
      <c r="AD29">
        <v>5.7666034308014799E-2</v>
      </c>
    </row>
    <row r="30" spans="1:30" x14ac:dyDescent="0.25">
      <c r="A30">
        <v>0.28236344311516798</v>
      </c>
      <c r="B30">
        <v>2.3740867465990401E-2</v>
      </c>
      <c r="C30">
        <v>0.31051681107428503</v>
      </c>
      <c r="D30">
        <v>1.50843538094486E-2</v>
      </c>
      <c r="E30">
        <v>-7.6266738678698695E-2</v>
      </c>
      <c r="F30">
        <v>-6.06303100487477E-2</v>
      </c>
      <c r="G30">
        <v>7.57686960745277E-2</v>
      </c>
      <c r="H30">
        <v>-0.102114492922817</v>
      </c>
      <c r="I30">
        <v>-2.7779978176157199E-3</v>
      </c>
      <c r="J30">
        <v>-0.13563428257499799</v>
      </c>
      <c r="K30">
        <v>0.12361299323901501</v>
      </c>
      <c r="L30">
        <v>-0.20450262172405601</v>
      </c>
      <c r="M30">
        <v>-8.2549824092646093E-3</v>
      </c>
      <c r="N30">
        <v>-6.2847076906947394E-2</v>
      </c>
      <c r="O30">
        <v>-6.6660022842734007E-2</v>
      </c>
      <c r="P30">
        <v>3.53313762625731E-2</v>
      </c>
      <c r="Q30">
        <v>-2.4992175645201999E-3</v>
      </c>
      <c r="R30">
        <v>-8.3743238024558395E-2</v>
      </c>
      <c r="S30">
        <v>2.2774886571255901E-2</v>
      </c>
      <c r="T30">
        <v>-0.116100998263508</v>
      </c>
      <c r="U30">
        <v>-0.11484852452446</v>
      </c>
      <c r="V30">
        <v>-4.8991633294275597E-2</v>
      </c>
      <c r="W30">
        <v>-1.83398260593126E-2</v>
      </c>
      <c r="X30">
        <v>9.5694379648212004E-3</v>
      </c>
      <c r="Y30">
        <v>7.5127429727879598E-3</v>
      </c>
      <c r="Z30">
        <v>0.13985005216167001</v>
      </c>
      <c r="AA30">
        <v>-0.13629445161245901</v>
      </c>
      <c r="AB30">
        <v>7.5633275467161198E-2</v>
      </c>
      <c r="AC30">
        <v>5.7666034308014799E-2</v>
      </c>
      <c r="AD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"/>
  <sheetViews>
    <sheetView workbookViewId="0">
      <selection activeCell="B5" sqref="B5"/>
    </sheetView>
  </sheetViews>
  <sheetFormatPr defaultColWidth="11.42578125" defaultRowHeight="15" x14ac:dyDescent="0.25"/>
  <sheetData>
    <row r="1" spans="1:30" x14ac:dyDescent="0.25">
      <c r="A1">
        <v>1.0020751953125</v>
      </c>
      <c r="B1">
        <v>1.8310546875E-4</v>
      </c>
      <c r="C1">
        <v>3.0517578125E-4</v>
      </c>
      <c r="D1">
        <v>1.8310546875E-4</v>
      </c>
      <c r="E1">
        <v>2.13623046875E-3</v>
      </c>
      <c r="F1">
        <v>7.9345703125E-4</v>
      </c>
      <c r="G1">
        <v>4.8828125E-4</v>
      </c>
      <c r="H1">
        <v>3.0517578125E-4</v>
      </c>
      <c r="I1">
        <v>4.2724609375E-4</v>
      </c>
      <c r="J1">
        <v>4.2724609375E-4</v>
      </c>
      <c r="K1">
        <v>2.0751953125E-3</v>
      </c>
      <c r="L1">
        <v>1.220703125E-4</v>
      </c>
      <c r="M1">
        <v>4.8828125E-4</v>
      </c>
      <c r="N1">
        <v>1.220703125E-3</v>
      </c>
      <c r="O1">
        <v>7.9345703125E-4</v>
      </c>
      <c r="P1">
        <v>2.44140625E-4</v>
      </c>
      <c r="Q1">
        <v>1.89208984375E-3</v>
      </c>
      <c r="R1">
        <v>3.662109375E-4</v>
      </c>
      <c r="S1">
        <v>6.7138671875E-4</v>
      </c>
      <c r="T1">
        <v>2.0751953125E-3</v>
      </c>
      <c r="U1">
        <v>6.7138671875E-4</v>
      </c>
      <c r="V1">
        <v>3.662109375E-4</v>
      </c>
      <c r="W1">
        <v>1.220703125E-4</v>
      </c>
      <c r="X1">
        <v>1.8310546875E-4</v>
      </c>
      <c r="Y1">
        <v>1.03759765625E-3</v>
      </c>
      <c r="Z1">
        <v>2.44140625E-4</v>
      </c>
      <c r="AA1">
        <v>6.7138671875E-4</v>
      </c>
      <c r="AB1">
        <v>2.44140625E-4</v>
      </c>
      <c r="AC1">
        <v>5.4931640625E-4</v>
      </c>
      <c r="AD1">
        <v>1.220703125E-4</v>
      </c>
    </row>
    <row r="2" spans="1:30" x14ac:dyDescent="0.25">
      <c r="A2">
        <v>1.8310546875E-4</v>
      </c>
      <c r="B2">
        <v>1.00048828125</v>
      </c>
      <c r="C2">
        <v>1.03759765625E-3</v>
      </c>
      <c r="D2">
        <v>3.0517578125E-4</v>
      </c>
      <c r="E2">
        <v>4.2724609375E-4</v>
      </c>
      <c r="F2">
        <v>2.44140625E-4</v>
      </c>
      <c r="G2">
        <v>2.44140625E-4</v>
      </c>
      <c r="H2">
        <v>3.0517578125E-4</v>
      </c>
      <c r="I2">
        <v>3.662109375E-4</v>
      </c>
      <c r="J2">
        <v>2.01416015625E-3</v>
      </c>
      <c r="K2">
        <v>1.220703125E-3</v>
      </c>
      <c r="L2">
        <v>3.662109375E-4</v>
      </c>
      <c r="M2">
        <v>4.2724609375E-4</v>
      </c>
      <c r="N2">
        <v>1.220703125E-4</v>
      </c>
      <c r="O2">
        <v>1.0986328125E-3</v>
      </c>
      <c r="P2">
        <v>2.44140625E-4</v>
      </c>
      <c r="Q2" s="1">
        <v>6.103515625E-5</v>
      </c>
      <c r="R2">
        <v>4.69970703125E-3</v>
      </c>
      <c r="S2">
        <v>3.662109375E-4</v>
      </c>
      <c r="T2">
        <v>1.220703125E-4</v>
      </c>
      <c r="U2">
        <v>4.2724609375E-4</v>
      </c>
      <c r="V2">
        <v>2.44140625E-4</v>
      </c>
      <c r="W2" s="1">
        <v>6.103515625E-5</v>
      </c>
      <c r="X2">
        <v>8.544921875E-4</v>
      </c>
      <c r="Y2">
        <v>7.9345703125E-4</v>
      </c>
      <c r="Z2">
        <v>7.9345703125E-4</v>
      </c>
      <c r="AA2">
        <v>1.220703125E-4</v>
      </c>
      <c r="AB2">
        <v>4.2724609375E-4</v>
      </c>
      <c r="AC2">
        <v>6.103515625E-4</v>
      </c>
      <c r="AD2">
        <v>7.32421875E-4</v>
      </c>
    </row>
    <row r="3" spans="1:30" x14ac:dyDescent="0.25">
      <c r="A3">
        <v>3.0517578125E-4</v>
      </c>
      <c r="B3">
        <v>1.03759765625E-3</v>
      </c>
      <c r="C3">
        <v>1.0001220703125</v>
      </c>
      <c r="D3">
        <v>4.8828125E-4</v>
      </c>
      <c r="E3">
        <v>2.44140625E-4</v>
      </c>
      <c r="F3">
        <v>1.15966796875E-3</v>
      </c>
      <c r="G3">
        <v>1.220703125E-4</v>
      </c>
      <c r="H3">
        <v>1.0986328125E-3</v>
      </c>
      <c r="I3">
        <v>3.0517578125E-4</v>
      </c>
      <c r="J3">
        <v>1.678466796875E-2</v>
      </c>
      <c r="K3" s="1">
        <v>6.103515625E-5</v>
      </c>
      <c r="L3">
        <v>1.8310546875E-4</v>
      </c>
      <c r="M3">
        <v>1.0986328125E-3</v>
      </c>
      <c r="N3">
        <v>3.662109375E-4</v>
      </c>
      <c r="O3">
        <v>7.32421875E-4</v>
      </c>
      <c r="P3">
        <v>5.4931640625E-4</v>
      </c>
      <c r="Q3">
        <v>9.1552734375E-4</v>
      </c>
      <c r="R3">
        <v>6.7138671875E-4</v>
      </c>
      <c r="S3">
        <v>3.0517578125E-4</v>
      </c>
      <c r="T3">
        <v>4.8828125E-4</v>
      </c>
      <c r="U3">
        <v>1.8310546875E-4</v>
      </c>
      <c r="V3">
        <v>5.4931640625E-4</v>
      </c>
      <c r="W3">
        <v>6.103515625E-4</v>
      </c>
      <c r="X3">
        <v>1.8310546875E-4</v>
      </c>
      <c r="Y3">
        <v>1.3427734375E-3</v>
      </c>
      <c r="Z3">
        <v>3.662109375E-4</v>
      </c>
      <c r="AA3">
        <v>3.662109375E-4</v>
      </c>
      <c r="AB3">
        <v>7.32421875E-4</v>
      </c>
      <c r="AC3">
        <v>0</v>
      </c>
      <c r="AD3">
        <v>4.8828125E-4</v>
      </c>
    </row>
    <row r="4" spans="1:30" x14ac:dyDescent="0.25">
      <c r="A4">
        <v>1.8310546875E-4</v>
      </c>
      <c r="B4">
        <v>3.0517578125E-4</v>
      </c>
      <c r="C4">
        <v>4.8828125E-4</v>
      </c>
      <c r="D4">
        <v>1.0020751953125</v>
      </c>
      <c r="E4">
        <v>3.662109375E-4</v>
      </c>
      <c r="F4">
        <v>4.8828125E-4</v>
      </c>
      <c r="G4">
        <v>1.220703125E-4</v>
      </c>
      <c r="H4">
        <v>4.8828125E-4</v>
      </c>
      <c r="I4">
        <v>3.0517578125E-4</v>
      </c>
      <c r="J4">
        <v>3.662109375E-4</v>
      </c>
      <c r="K4">
        <v>1.220703125E-4</v>
      </c>
      <c r="L4">
        <v>1.40380859375E-3</v>
      </c>
      <c r="M4">
        <v>1.220703125E-4</v>
      </c>
      <c r="N4">
        <v>6.7138671875E-4</v>
      </c>
      <c r="O4">
        <v>4.2724609375E-3</v>
      </c>
      <c r="P4">
        <v>3.0517578125E-4</v>
      </c>
      <c r="Q4">
        <v>2.44140625E-4</v>
      </c>
      <c r="R4">
        <v>1.3427734375E-3</v>
      </c>
      <c r="S4">
        <v>4.2724609375E-4</v>
      </c>
      <c r="T4">
        <v>3.0517578125E-4</v>
      </c>
      <c r="U4">
        <v>3.662109375E-4</v>
      </c>
      <c r="V4">
        <v>5.4931640625E-4</v>
      </c>
      <c r="W4">
        <v>6.103515625E-4</v>
      </c>
      <c r="X4">
        <v>3.662109375E-4</v>
      </c>
      <c r="Y4">
        <v>1.3427734375E-3</v>
      </c>
      <c r="Z4">
        <v>1.3427734375E-3</v>
      </c>
      <c r="AA4">
        <v>4.8828125E-4</v>
      </c>
      <c r="AB4">
        <v>1.03759765625E-3</v>
      </c>
      <c r="AC4">
        <v>3.662109375E-4</v>
      </c>
      <c r="AD4">
        <v>1.3427734375E-3</v>
      </c>
    </row>
    <row r="5" spans="1:30" x14ac:dyDescent="0.25">
      <c r="A5">
        <v>2.13623046875E-3</v>
      </c>
      <c r="B5">
        <v>4.2724609375E-4</v>
      </c>
      <c r="C5">
        <v>2.44140625E-4</v>
      </c>
      <c r="D5">
        <v>3.662109375E-4</v>
      </c>
      <c r="E5">
        <v>1.000244140625</v>
      </c>
      <c r="F5">
        <v>2.44140625E-4</v>
      </c>
      <c r="G5">
        <v>1.8310546875E-4</v>
      </c>
      <c r="H5">
        <v>1.8310546875E-4</v>
      </c>
      <c r="I5">
        <v>1.7578125E-2</v>
      </c>
      <c r="J5">
        <v>2.44140625E-4</v>
      </c>
      <c r="K5">
        <v>7.9345703125E-4</v>
      </c>
      <c r="L5">
        <v>2.44140625E-4</v>
      </c>
      <c r="M5">
        <v>1.220703125E-3</v>
      </c>
      <c r="N5">
        <v>4.5166015625E-3</v>
      </c>
      <c r="O5">
        <v>4.8828125E-4</v>
      </c>
      <c r="P5">
        <v>4.33349609375E-3</v>
      </c>
      <c r="Q5">
        <v>6.103515625E-4</v>
      </c>
      <c r="R5">
        <v>3.0517578125E-4</v>
      </c>
      <c r="S5">
        <v>5.4931640625E-4</v>
      </c>
      <c r="T5">
        <v>1.8310546875E-4</v>
      </c>
      <c r="U5">
        <v>6.103515625E-4</v>
      </c>
      <c r="V5">
        <v>4.33349609375E-3</v>
      </c>
      <c r="W5">
        <v>3.662109375E-4</v>
      </c>
      <c r="X5">
        <v>1.708984375E-3</v>
      </c>
      <c r="Y5">
        <v>3.0517578125E-4</v>
      </c>
      <c r="Z5">
        <v>1.8310546875E-4</v>
      </c>
      <c r="AA5">
        <v>1.220703125E-4</v>
      </c>
      <c r="AB5">
        <v>5.2490234375E-3</v>
      </c>
      <c r="AC5">
        <v>1.220703125E-3</v>
      </c>
      <c r="AD5">
        <v>3.662109375E-4</v>
      </c>
    </row>
    <row r="6" spans="1:30" x14ac:dyDescent="0.25">
      <c r="A6">
        <v>7.9345703125E-4</v>
      </c>
      <c r="B6">
        <v>2.44140625E-4</v>
      </c>
      <c r="C6">
        <v>1.15966796875E-3</v>
      </c>
      <c r="D6">
        <v>4.8828125E-4</v>
      </c>
      <c r="E6">
        <v>2.44140625E-4</v>
      </c>
      <c r="F6">
        <v>1.00048828125</v>
      </c>
      <c r="G6">
        <v>6.103515625E-4</v>
      </c>
      <c r="H6">
        <v>5.4931640625E-4</v>
      </c>
      <c r="I6">
        <v>3.662109375E-4</v>
      </c>
      <c r="J6">
        <v>6.103515625E-4</v>
      </c>
      <c r="K6">
        <v>1.8310546875E-4</v>
      </c>
      <c r="L6">
        <v>1.03759765625E-3</v>
      </c>
      <c r="M6">
        <v>1.59912109375E-2</v>
      </c>
      <c r="N6">
        <v>2.44140625E-4</v>
      </c>
      <c r="O6">
        <v>1.89208984375E-3</v>
      </c>
      <c r="P6">
        <v>1.40380859375E-3</v>
      </c>
      <c r="Q6">
        <v>1.690673828125E-2</v>
      </c>
      <c r="R6">
        <v>1.3427734375E-3</v>
      </c>
      <c r="S6">
        <v>3.662109375E-4</v>
      </c>
      <c r="T6">
        <v>6.103515625E-4</v>
      </c>
      <c r="U6">
        <v>1.8310546875E-4</v>
      </c>
      <c r="V6">
        <v>1.46484375E-3</v>
      </c>
      <c r="W6">
        <v>3.662109375E-4</v>
      </c>
      <c r="X6">
        <v>7.32421875E-4</v>
      </c>
      <c r="Y6">
        <v>0</v>
      </c>
      <c r="Z6">
        <v>5.4931640625E-4</v>
      </c>
      <c r="AA6">
        <v>2.44140625E-4</v>
      </c>
      <c r="AB6">
        <v>1.220703125E-4</v>
      </c>
      <c r="AC6">
        <v>4.21142578125E-3</v>
      </c>
      <c r="AD6">
        <v>1.8310546875E-4</v>
      </c>
    </row>
    <row r="7" spans="1:30" x14ac:dyDescent="0.25">
      <c r="A7">
        <v>4.8828125E-4</v>
      </c>
      <c r="B7">
        <v>2.44140625E-4</v>
      </c>
      <c r="C7">
        <v>1.220703125E-4</v>
      </c>
      <c r="D7">
        <v>1.220703125E-4</v>
      </c>
      <c r="E7">
        <v>1.8310546875E-4</v>
      </c>
      <c r="F7">
        <v>6.103515625E-4</v>
      </c>
      <c r="G7">
        <v>1</v>
      </c>
      <c r="H7">
        <v>2.44140625E-4</v>
      </c>
      <c r="I7">
        <v>1.46484375E-3</v>
      </c>
      <c r="J7">
        <v>5.4931640625E-4</v>
      </c>
      <c r="K7">
        <v>3.0517578125E-4</v>
      </c>
      <c r="L7">
        <v>1.8310546875E-4</v>
      </c>
      <c r="M7" s="1">
        <v>6.103515625E-5</v>
      </c>
      <c r="N7">
        <v>4.2724609375E-4</v>
      </c>
      <c r="O7">
        <v>6.7138671875E-4</v>
      </c>
      <c r="P7">
        <v>1.220703125E-3</v>
      </c>
      <c r="Q7">
        <v>5.4931640625E-4</v>
      </c>
      <c r="R7">
        <v>3.662109375E-4</v>
      </c>
      <c r="S7">
        <v>1.40380859375E-3</v>
      </c>
      <c r="T7">
        <v>1.40380859375E-3</v>
      </c>
      <c r="U7">
        <v>1.03759765625E-3</v>
      </c>
      <c r="V7">
        <v>3.662109375E-4</v>
      </c>
      <c r="W7">
        <v>1.8310546875E-4</v>
      </c>
      <c r="X7">
        <v>3.0517578125E-4</v>
      </c>
      <c r="Y7" s="1">
        <v>6.103515625E-5</v>
      </c>
      <c r="Z7">
        <v>1.220703125E-4</v>
      </c>
      <c r="AA7">
        <v>7.32421875E-4</v>
      </c>
      <c r="AB7">
        <v>5.4931640625E-4</v>
      </c>
      <c r="AC7">
        <v>1.220703125E-4</v>
      </c>
      <c r="AD7">
        <v>3.662109375E-4</v>
      </c>
    </row>
    <row r="8" spans="1:30" x14ac:dyDescent="0.25">
      <c r="A8">
        <v>3.0517578125E-4</v>
      </c>
      <c r="B8">
        <v>3.0517578125E-4</v>
      </c>
      <c r="C8">
        <v>1.0986328125E-3</v>
      </c>
      <c r="D8">
        <v>4.8828125E-4</v>
      </c>
      <c r="E8">
        <v>1.8310546875E-4</v>
      </c>
      <c r="F8">
        <v>5.4931640625E-4</v>
      </c>
      <c r="G8">
        <v>2.44140625E-4</v>
      </c>
      <c r="H8">
        <v>1.00146484375</v>
      </c>
      <c r="I8">
        <v>3.662109375E-4</v>
      </c>
      <c r="J8">
        <v>1.89208984375E-3</v>
      </c>
      <c r="K8">
        <v>1.40380859375E-3</v>
      </c>
      <c r="L8">
        <v>6.103515625E-4</v>
      </c>
      <c r="M8">
        <v>0</v>
      </c>
      <c r="N8">
        <v>1.15966796875E-3</v>
      </c>
      <c r="O8">
        <v>6.103515625E-4</v>
      </c>
      <c r="P8">
        <v>2.44140625E-4</v>
      </c>
      <c r="Q8" s="1">
        <v>6.103515625E-5</v>
      </c>
      <c r="R8">
        <v>6.103515625E-4</v>
      </c>
      <c r="S8">
        <v>6.7138671875E-4</v>
      </c>
      <c r="T8">
        <v>1.8310546875E-4</v>
      </c>
      <c r="U8">
        <v>4.2724609375E-4</v>
      </c>
      <c r="V8">
        <v>5.4931640625E-4</v>
      </c>
      <c r="W8">
        <v>4.8828125E-4</v>
      </c>
      <c r="X8">
        <v>1.8310546875E-4</v>
      </c>
      <c r="Y8">
        <v>1.220703125E-3</v>
      </c>
      <c r="Z8">
        <v>1.220703125E-4</v>
      </c>
      <c r="AA8">
        <v>1.953125E-3</v>
      </c>
      <c r="AB8">
        <v>1.8310546875E-4</v>
      </c>
      <c r="AC8">
        <v>4.2724609375E-4</v>
      </c>
      <c r="AD8">
        <v>3.662109375E-4</v>
      </c>
    </row>
    <row r="9" spans="1:30" x14ac:dyDescent="0.25">
      <c r="A9">
        <v>4.2724609375E-4</v>
      </c>
      <c r="B9">
        <v>3.662109375E-4</v>
      </c>
      <c r="C9">
        <v>3.0517578125E-4</v>
      </c>
      <c r="D9">
        <v>3.0517578125E-4</v>
      </c>
      <c r="E9">
        <v>1.7578125E-2</v>
      </c>
      <c r="F9">
        <v>3.662109375E-4</v>
      </c>
      <c r="G9">
        <v>1.46484375E-3</v>
      </c>
      <c r="H9">
        <v>3.662109375E-4</v>
      </c>
      <c r="I9">
        <v>1.0006103515625</v>
      </c>
      <c r="J9">
        <v>4.2724609375E-4</v>
      </c>
      <c r="K9">
        <v>4.2724609375E-4</v>
      </c>
      <c r="L9">
        <v>3.0517578125E-4</v>
      </c>
      <c r="M9">
        <v>1.3427734375E-3</v>
      </c>
      <c r="N9">
        <v>4.8828125E-4</v>
      </c>
      <c r="O9">
        <v>1.0986328125E-3</v>
      </c>
      <c r="P9">
        <v>1.0986328125E-3</v>
      </c>
      <c r="Q9">
        <v>1.220703125E-3</v>
      </c>
      <c r="R9">
        <v>6.7138671875E-4</v>
      </c>
      <c r="S9">
        <v>4.8828125E-4</v>
      </c>
      <c r="T9">
        <v>5.4931640625E-4</v>
      </c>
      <c r="U9">
        <v>1.28173828125E-3</v>
      </c>
      <c r="V9">
        <v>4.150390625E-3</v>
      </c>
      <c r="W9">
        <v>7.9345703125E-4</v>
      </c>
      <c r="X9">
        <v>1.0986328125E-3</v>
      </c>
      <c r="Y9" s="1">
        <v>6.103515625E-5</v>
      </c>
      <c r="Z9">
        <v>4.8828125E-4</v>
      </c>
      <c r="AA9">
        <v>4.2724609375E-4</v>
      </c>
      <c r="AB9">
        <v>1.28173828125E-3</v>
      </c>
      <c r="AC9">
        <v>8.544921875E-4</v>
      </c>
      <c r="AD9">
        <v>6.7138671875E-4</v>
      </c>
    </row>
    <row r="10" spans="1:30" x14ac:dyDescent="0.25">
      <c r="A10">
        <v>4.2724609375E-4</v>
      </c>
      <c r="B10">
        <v>2.01416015625E-3</v>
      </c>
      <c r="C10">
        <v>1.678466796875E-2</v>
      </c>
      <c r="D10">
        <v>3.662109375E-4</v>
      </c>
      <c r="E10">
        <v>2.44140625E-4</v>
      </c>
      <c r="F10">
        <v>6.103515625E-4</v>
      </c>
      <c r="G10">
        <v>5.4931640625E-4</v>
      </c>
      <c r="H10">
        <v>1.89208984375E-3</v>
      </c>
      <c r="I10">
        <v>4.2724609375E-4</v>
      </c>
      <c r="J10">
        <v>1</v>
      </c>
      <c r="K10">
        <v>1.580810546875E-2</v>
      </c>
      <c r="L10">
        <v>3.662109375E-4</v>
      </c>
      <c r="M10">
        <v>6.103515625E-4</v>
      </c>
      <c r="N10">
        <v>9.765625E-4</v>
      </c>
      <c r="O10">
        <v>3.173828125E-3</v>
      </c>
      <c r="P10">
        <v>3.0517578125E-4</v>
      </c>
      <c r="Q10">
        <v>6.103515625E-4</v>
      </c>
      <c r="R10">
        <v>1.03759765625E-3</v>
      </c>
      <c r="S10">
        <v>3.662109375E-4</v>
      </c>
      <c r="T10" s="1">
        <v>6.103515625E-5</v>
      </c>
      <c r="U10">
        <v>4.8828125E-4</v>
      </c>
      <c r="V10">
        <v>7.32421875E-4</v>
      </c>
      <c r="W10">
        <v>4.39453125E-3</v>
      </c>
      <c r="X10">
        <v>1.8310546875E-4</v>
      </c>
      <c r="Y10">
        <v>1.77001953125E-3</v>
      </c>
      <c r="Z10">
        <v>3.662109375E-4</v>
      </c>
      <c r="AA10" s="1">
        <v>6.103515625E-5</v>
      </c>
      <c r="AB10">
        <v>5.4931640625E-4</v>
      </c>
      <c r="AC10">
        <v>1.220703125E-4</v>
      </c>
      <c r="AD10">
        <v>1.64794921875E-3</v>
      </c>
    </row>
    <row r="11" spans="1:30" x14ac:dyDescent="0.25">
      <c r="A11">
        <v>2.0751953125E-3</v>
      </c>
      <c r="B11">
        <v>1.220703125E-3</v>
      </c>
      <c r="C11" s="1">
        <v>6.103515625E-5</v>
      </c>
      <c r="D11">
        <v>1.220703125E-4</v>
      </c>
      <c r="E11">
        <v>7.9345703125E-4</v>
      </c>
      <c r="F11">
        <v>1.8310546875E-4</v>
      </c>
      <c r="G11">
        <v>3.0517578125E-4</v>
      </c>
      <c r="H11">
        <v>1.40380859375E-3</v>
      </c>
      <c r="I11">
        <v>4.2724609375E-4</v>
      </c>
      <c r="J11">
        <v>1.580810546875E-2</v>
      </c>
      <c r="K11">
        <v>1.002197265625</v>
      </c>
      <c r="L11">
        <v>1.8310546875E-4</v>
      </c>
      <c r="M11">
        <v>3.662109375E-4</v>
      </c>
      <c r="N11">
        <v>4.8828125E-4</v>
      </c>
      <c r="O11">
        <v>1.0986328125E-3</v>
      </c>
      <c r="P11">
        <v>6.103515625E-4</v>
      </c>
      <c r="Q11">
        <v>4.8828125E-4</v>
      </c>
      <c r="R11">
        <v>1.220703125E-3</v>
      </c>
      <c r="S11">
        <v>6.7138671875E-4</v>
      </c>
      <c r="T11">
        <v>1.8310546875E-4</v>
      </c>
      <c r="U11">
        <v>8.544921875E-4</v>
      </c>
      <c r="V11">
        <v>1.8310546875E-3</v>
      </c>
      <c r="W11">
        <v>1.3427734375E-3</v>
      </c>
      <c r="X11">
        <v>6.103515625E-4</v>
      </c>
      <c r="Y11">
        <v>1.220703125E-4</v>
      </c>
      <c r="Z11">
        <v>1.15966796875E-3</v>
      </c>
      <c r="AA11">
        <v>3.0517578125E-4</v>
      </c>
      <c r="AB11">
        <v>4.8828125E-4</v>
      </c>
      <c r="AC11">
        <v>3.0517578125E-4</v>
      </c>
      <c r="AD11">
        <v>6.7138671875E-4</v>
      </c>
    </row>
    <row r="12" spans="1:30" x14ac:dyDescent="0.25">
      <c r="A12">
        <v>1.220703125E-4</v>
      </c>
      <c r="B12">
        <v>3.662109375E-4</v>
      </c>
      <c r="C12">
        <v>1.8310546875E-4</v>
      </c>
      <c r="D12">
        <v>1.40380859375E-3</v>
      </c>
      <c r="E12">
        <v>2.44140625E-4</v>
      </c>
      <c r="F12">
        <v>1.03759765625E-3</v>
      </c>
      <c r="G12">
        <v>1.8310546875E-4</v>
      </c>
      <c r="H12">
        <v>6.103515625E-4</v>
      </c>
      <c r="I12">
        <v>3.0517578125E-4</v>
      </c>
      <c r="J12">
        <v>3.662109375E-4</v>
      </c>
      <c r="K12">
        <v>1.8310546875E-4</v>
      </c>
      <c r="L12">
        <v>1</v>
      </c>
      <c r="M12">
        <v>2.44140625E-4</v>
      </c>
      <c r="N12" s="1">
        <v>6.103515625E-5</v>
      </c>
      <c r="O12">
        <v>7.32421875E-4</v>
      </c>
      <c r="P12">
        <v>3.0517578125E-4</v>
      </c>
      <c r="Q12">
        <v>3.662109375E-4</v>
      </c>
      <c r="R12">
        <v>4.08935546875E-3</v>
      </c>
      <c r="S12">
        <v>1.40380859375E-3</v>
      </c>
      <c r="T12">
        <v>1.220703125E-4</v>
      </c>
      <c r="U12">
        <v>2.44140625E-4</v>
      </c>
      <c r="V12">
        <v>4.2724609375E-4</v>
      </c>
      <c r="W12">
        <v>3.0517578125E-4</v>
      </c>
      <c r="X12">
        <v>4.33349609375E-3</v>
      </c>
      <c r="Y12">
        <v>1.0986328125E-3</v>
      </c>
      <c r="Z12">
        <v>3.0517578125E-4</v>
      </c>
      <c r="AA12">
        <v>3.0517578125E-4</v>
      </c>
      <c r="AB12" s="1">
        <v>6.103515625E-5</v>
      </c>
      <c r="AC12">
        <v>2.44140625E-4</v>
      </c>
      <c r="AD12">
        <v>3.0517578125E-4</v>
      </c>
    </row>
    <row r="13" spans="1:30" x14ac:dyDescent="0.25">
      <c r="A13">
        <v>4.8828125E-4</v>
      </c>
      <c r="B13">
        <v>4.2724609375E-4</v>
      </c>
      <c r="C13">
        <v>1.0986328125E-3</v>
      </c>
      <c r="D13">
        <v>1.220703125E-4</v>
      </c>
      <c r="E13">
        <v>1.220703125E-3</v>
      </c>
      <c r="F13">
        <v>1.59912109375E-2</v>
      </c>
      <c r="G13" s="1">
        <v>6.103515625E-5</v>
      </c>
      <c r="H13">
        <v>0</v>
      </c>
      <c r="I13">
        <v>1.3427734375E-3</v>
      </c>
      <c r="J13">
        <v>6.103515625E-4</v>
      </c>
      <c r="K13">
        <v>3.662109375E-4</v>
      </c>
      <c r="L13">
        <v>2.44140625E-4</v>
      </c>
      <c r="M13">
        <v>1.0001220703125</v>
      </c>
      <c r="N13" s="1">
        <v>6.103515625E-5</v>
      </c>
      <c r="O13">
        <v>1.15966796875E-3</v>
      </c>
      <c r="P13">
        <v>6.103515625E-4</v>
      </c>
      <c r="Q13" s="1">
        <v>6.103515625E-5</v>
      </c>
      <c r="R13">
        <v>2.44140625E-4</v>
      </c>
      <c r="S13" s="1">
        <v>6.103515625E-5</v>
      </c>
      <c r="T13" s="1">
        <v>6.103515625E-5</v>
      </c>
      <c r="U13">
        <v>1.220703125E-4</v>
      </c>
      <c r="V13">
        <v>4.638671875E-3</v>
      </c>
      <c r="W13">
        <v>6.103515625E-4</v>
      </c>
      <c r="X13">
        <v>1.3427734375E-3</v>
      </c>
      <c r="Y13">
        <v>1.8310546875E-4</v>
      </c>
      <c r="Z13">
        <v>4.2724609375E-3</v>
      </c>
      <c r="AA13">
        <v>1.8310546875E-4</v>
      </c>
      <c r="AB13" s="1">
        <v>6.103515625E-5</v>
      </c>
      <c r="AC13" s="1">
        <v>6.103515625E-5</v>
      </c>
      <c r="AD13">
        <v>1.8310546875E-4</v>
      </c>
    </row>
    <row r="14" spans="1:30" x14ac:dyDescent="0.25">
      <c r="A14">
        <v>1.220703125E-3</v>
      </c>
      <c r="B14">
        <v>1.220703125E-4</v>
      </c>
      <c r="C14">
        <v>3.662109375E-4</v>
      </c>
      <c r="D14">
        <v>6.7138671875E-4</v>
      </c>
      <c r="E14">
        <v>4.5166015625E-3</v>
      </c>
      <c r="F14">
        <v>2.44140625E-4</v>
      </c>
      <c r="G14">
        <v>4.2724609375E-4</v>
      </c>
      <c r="H14">
        <v>1.15966796875E-3</v>
      </c>
      <c r="I14">
        <v>4.8828125E-4</v>
      </c>
      <c r="J14">
        <v>9.765625E-4</v>
      </c>
      <c r="K14">
        <v>4.8828125E-4</v>
      </c>
      <c r="L14" s="1">
        <v>6.103515625E-5</v>
      </c>
      <c r="M14" s="1">
        <v>6.103515625E-5</v>
      </c>
      <c r="N14">
        <v>1.0001220703125</v>
      </c>
      <c r="O14">
        <v>1.220703125E-4</v>
      </c>
      <c r="P14">
        <v>3.662109375E-4</v>
      </c>
      <c r="Q14">
        <v>3.662109375E-4</v>
      </c>
      <c r="R14">
        <v>4.0283203125E-3</v>
      </c>
      <c r="S14">
        <v>3.662109375E-4</v>
      </c>
      <c r="T14">
        <v>2.44140625E-4</v>
      </c>
      <c r="U14">
        <v>7.32421875E-4</v>
      </c>
      <c r="V14" s="1">
        <v>6.103515625E-5</v>
      </c>
      <c r="W14">
        <v>7.32421875E-4</v>
      </c>
      <c r="X14">
        <v>1.0986328125E-3</v>
      </c>
      <c r="Y14">
        <v>4.08935546875E-3</v>
      </c>
      <c r="Z14">
        <v>1.40380859375E-3</v>
      </c>
      <c r="AA14" s="1">
        <v>6.103515625E-5</v>
      </c>
      <c r="AB14">
        <v>4.2724609375E-4</v>
      </c>
      <c r="AC14">
        <v>1.46484375E-3</v>
      </c>
      <c r="AD14">
        <v>4.8828125E-4</v>
      </c>
    </row>
    <row r="15" spans="1:30" x14ac:dyDescent="0.25">
      <c r="A15">
        <v>7.9345703125E-4</v>
      </c>
      <c r="B15">
        <v>1.0986328125E-3</v>
      </c>
      <c r="C15">
        <v>7.32421875E-4</v>
      </c>
      <c r="D15">
        <v>4.2724609375E-3</v>
      </c>
      <c r="E15">
        <v>4.8828125E-4</v>
      </c>
      <c r="F15">
        <v>1.89208984375E-3</v>
      </c>
      <c r="G15">
        <v>6.7138671875E-4</v>
      </c>
      <c r="H15">
        <v>6.103515625E-4</v>
      </c>
      <c r="I15">
        <v>1.0986328125E-3</v>
      </c>
      <c r="J15">
        <v>3.173828125E-3</v>
      </c>
      <c r="K15">
        <v>1.0986328125E-3</v>
      </c>
      <c r="L15">
        <v>7.32421875E-4</v>
      </c>
      <c r="M15">
        <v>1.15966796875E-3</v>
      </c>
      <c r="N15">
        <v>1.220703125E-4</v>
      </c>
      <c r="O15">
        <v>1</v>
      </c>
      <c r="P15">
        <v>1.0986328125E-3</v>
      </c>
      <c r="Q15">
        <v>6.103515625E-4</v>
      </c>
      <c r="R15">
        <v>1.8310546875E-4</v>
      </c>
      <c r="S15">
        <v>5.4931640625E-4</v>
      </c>
      <c r="T15">
        <v>2.44140625E-4</v>
      </c>
      <c r="U15">
        <v>9.765625E-4</v>
      </c>
      <c r="V15">
        <v>2.38037109375E-3</v>
      </c>
      <c r="W15">
        <v>5.4931640625E-4</v>
      </c>
      <c r="X15">
        <v>1.8310546875E-4</v>
      </c>
      <c r="Y15">
        <v>5.4931640625E-4</v>
      </c>
      <c r="Z15">
        <v>1.8310546875E-4</v>
      </c>
      <c r="AA15">
        <v>3.662109375E-4</v>
      </c>
      <c r="AB15">
        <v>2.44140625E-4</v>
      </c>
      <c r="AC15">
        <v>8.544921875E-4</v>
      </c>
      <c r="AD15">
        <v>1.28173828125E-3</v>
      </c>
    </row>
    <row r="16" spans="1:30" x14ac:dyDescent="0.25">
      <c r="A16">
        <v>2.44140625E-4</v>
      </c>
      <c r="B16">
        <v>2.44140625E-4</v>
      </c>
      <c r="C16">
        <v>5.4931640625E-4</v>
      </c>
      <c r="D16">
        <v>3.0517578125E-4</v>
      </c>
      <c r="E16">
        <v>4.33349609375E-3</v>
      </c>
      <c r="F16">
        <v>1.40380859375E-3</v>
      </c>
      <c r="G16">
        <v>1.220703125E-3</v>
      </c>
      <c r="H16">
        <v>2.44140625E-4</v>
      </c>
      <c r="I16">
        <v>1.0986328125E-3</v>
      </c>
      <c r="J16">
        <v>3.0517578125E-4</v>
      </c>
      <c r="K16">
        <v>6.103515625E-4</v>
      </c>
      <c r="L16">
        <v>3.0517578125E-4</v>
      </c>
      <c r="M16">
        <v>6.103515625E-4</v>
      </c>
      <c r="N16">
        <v>3.662109375E-4</v>
      </c>
      <c r="O16">
        <v>1.0986328125E-3</v>
      </c>
      <c r="P16">
        <v>1</v>
      </c>
      <c r="Q16">
        <v>1.220703125E-3</v>
      </c>
      <c r="R16">
        <v>3.662109375E-4</v>
      </c>
      <c r="S16">
        <v>5.4931640625E-4</v>
      </c>
      <c r="T16">
        <v>3.662109375E-4</v>
      </c>
      <c r="U16">
        <v>1.220703125E-4</v>
      </c>
      <c r="V16">
        <v>4.8828125E-4</v>
      </c>
      <c r="W16">
        <v>2.44140625E-4</v>
      </c>
      <c r="X16">
        <v>1.89208984375E-3</v>
      </c>
      <c r="Y16">
        <v>1.3427734375E-3</v>
      </c>
      <c r="Z16">
        <v>3.662109375E-4</v>
      </c>
      <c r="AA16">
        <v>4.8828125E-4</v>
      </c>
      <c r="AB16">
        <v>6.298828125E-2</v>
      </c>
      <c r="AC16">
        <v>1.8310546875E-4</v>
      </c>
      <c r="AD16">
        <v>4.2724609375E-4</v>
      </c>
    </row>
    <row r="17" spans="1:30" x14ac:dyDescent="0.25">
      <c r="A17">
        <v>1.89208984375E-3</v>
      </c>
      <c r="B17" s="1">
        <v>6.103515625E-5</v>
      </c>
      <c r="C17">
        <v>9.1552734375E-4</v>
      </c>
      <c r="D17">
        <v>2.44140625E-4</v>
      </c>
      <c r="E17">
        <v>6.103515625E-4</v>
      </c>
      <c r="F17">
        <v>1.690673828125E-2</v>
      </c>
      <c r="G17">
        <v>5.4931640625E-4</v>
      </c>
      <c r="H17" s="1">
        <v>6.103515625E-5</v>
      </c>
      <c r="I17">
        <v>1.220703125E-3</v>
      </c>
      <c r="J17">
        <v>6.103515625E-4</v>
      </c>
      <c r="K17">
        <v>4.8828125E-4</v>
      </c>
      <c r="L17">
        <v>3.662109375E-4</v>
      </c>
      <c r="M17" s="1">
        <v>6.103515625E-5</v>
      </c>
      <c r="N17">
        <v>3.662109375E-4</v>
      </c>
      <c r="O17">
        <v>6.103515625E-4</v>
      </c>
      <c r="P17">
        <v>1.220703125E-3</v>
      </c>
      <c r="Q17">
        <v>1</v>
      </c>
      <c r="R17">
        <v>6.103515625E-4</v>
      </c>
      <c r="S17">
        <v>4.2724609375E-4</v>
      </c>
      <c r="T17">
        <v>6.103515625E-4</v>
      </c>
      <c r="U17">
        <v>7.9345703125E-4</v>
      </c>
      <c r="V17">
        <v>6.103515625E-4</v>
      </c>
      <c r="W17">
        <v>3.662109375E-4</v>
      </c>
      <c r="X17">
        <v>3.662109375E-4</v>
      </c>
      <c r="Y17">
        <v>0</v>
      </c>
      <c r="Z17">
        <v>9.1552734375E-4</v>
      </c>
      <c r="AA17">
        <v>1.220703125E-4</v>
      </c>
      <c r="AB17">
        <v>1.8310546875E-4</v>
      </c>
      <c r="AC17">
        <v>4.94384765625E-3</v>
      </c>
      <c r="AD17">
        <v>1.52587890625E-3</v>
      </c>
    </row>
    <row r="18" spans="1:30" x14ac:dyDescent="0.25">
      <c r="A18">
        <v>3.662109375E-4</v>
      </c>
      <c r="B18">
        <v>4.69970703125E-3</v>
      </c>
      <c r="C18">
        <v>6.7138671875E-4</v>
      </c>
      <c r="D18">
        <v>1.3427734375E-3</v>
      </c>
      <c r="E18">
        <v>3.0517578125E-4</v>
      </c>
      <c r="F18">
        <v>1.3427734375E-3</v>
      </c>
      <c r="G18">
        <v>3.662109375E-4</v>
      </c>
      <c r="H18">
        <v>6.103515625E-4</v>
      </c>
      <c r="I18">
        <v>6.7138671875E-4</v>
      </c>
      <c r="J18">
        <v>1.03759765625E-3</v>
      </c>
      <c r="K18">
        <v>1.220703125E-3</v>
      </c>
      <c r="L18">
        <v>4.08935546875E-3</v>
      </c>
      <c r="M18">
        <v>2.44140625E-4</v>
      </c>
      <c r="N18">
        <v>4.0283203125E-3</v>
      </c>
      <c r="O18">
        <v>1.8310546875E-4</v>
      </c>
      <c r="P18">
        <v>3.662109375E-4</v>
      </c>
      <c r="Q18">
        <v>6.103515625E-4</v>
      </c>
      <c r="R18">
        <v>1.0001220703125</v>
      </c>
      <c r="S18">
        <v>1.220703125E-3</v>
      </c>
      <c r="T18">
        <v>4.2724609375E-4</v>
      </c>
      <c r="U18">
        <v>1.77001953125E-3</v>
      </c>
      <c r="V18">
        <v>2.44140625E-4</v>
      </c>
      <c r="W18">
        <v>2.44140625E-4</v>
      </c>
      <c r="X18">
        <v>0</v>
      </c>
      <c r="Y18">
        <v>5.18798828125E-3</v>
      </c>
      <c r="Z18">
        <v>2.3193359375E-3</v>
      </c>
      <c r="AA18">
        <v>1.220703125E-4</v>
      </c>
      <c r="AB18">
        <v>4.2724609375E-4</v>
      </c>
      <c r="AC18">
        <v>4.2724609375E-4</v>
      </c>
      <c r="AD18">
        <v>5.4931640625E-4</v>
      </c>
    </row>
    <row r="19" spans="1:30" x14ac:dyDescent="0.25">
      <c r="A19">
        <v>6.7138671875E-4</v>
      </c>
      <c r="B19">
        <v>3.662109375E-4</v>
      </c>
      <c r="C19">
        <v>3.0517578125E-4</v>
      </c>
      <c r="D19">
        <v>4.2724609375E-4</v>
      </c>
      <c r="E19">
        <v>5.4931640625E-4</v>
      </c>
      <c r="F19">
        <v>3.662109375E-4</v>
      </c>
      <c r="G19">
        <v>1.40380859375E-3</v>
      </c>
      <c r="H19">
        <v>6.7138671875E-4</v>
      </c>
      <c r="I19">
        <v>4.8828125E-4</v>
      </c>
      <c r="J19">
        <v>3.662109375E-4</v>
      </c>
      <c r="K19">
        <v>6.7138671875E-4</v>
      </c>
      <c r="L19">
        <v>1.40380859375E-3</v>
      </c>
      <c r="M19" s="1">
        <v>6.103515625E-5</v>
      </c>
      <c r="N19">
        <v>3.662109375E-4</v>
      </c>
      <c r="O19">
        <v>5.4931640625E-4</v>
      </c>
      <c r="P19">
        <v>5.4931640625E-4</v>
      </c>
      <c r="Q19">
        <v>4.2724609375E-4</v>
      </c>
      <c r="R19">
        <v>1.220703125E-3</v>
      </c>
      <c r="S19">
        <v>1.00048828125</v>
      </c>
      <c r="T19">
        <v>1.8310546875E-4</v>
      </c>
      <c r="U19">
        <v>7.9345703125E-4</v>
      </c>
      <c r="V19">
        <v>4.150390625E-3</v>
      </c>
      <c r="W19">
        <v>1.59912109375E-2</v>
      </c>
      <c r="X19">
        <v>2.44140625E-4</v>
      </c>
      <c r="Y19">
        <v>1.220703125E-4</v>
      </c>
      <c r="Z19">
        <v>6.7138671875E-4</v>
      </c>
      <c r="AA19">
        <v>7.32421875E-4</v>
      </c>
      <c r="AB19">
        <v>4.2724609375E-4</v>
      </c>
      <c r="AC19" s="1">
        <v>6.103515625E-5</v>
      </c>
      <c r="AD19">
        <v>2.44140625E-4</v>
      </c>
    </row>
    <row r="20" spans="1:30" x14ac:dyDescent="0.25">
      <c r="A20">
        <v>2.0751953125E-3</v>
      </c>
      <c r="B20">
        <v>1.220703125E-4</v>
      </c>
      <c r="C20">
        <v>4.8828125E-4</v>
      </c>
      <c r="D20">
        <v>3.0517578125E-4</v>
      </c>
      <c r="E20">
        <v>1.8310546875E-4</v>
      </c>
      <c r="F20">
        <v>6.103515625E-4</v>
      </c>
      <c r="G20">
        <v>1.40380859375E-3</v>
      </c>
      <c r="H20">
        <v>1.8310546875E-4</v>
      </c>
      <c r="I20">
        <v>5.4931640625E-4</v>
      </c>
      <c r="J20" s="1">
        <v>6.103515625E-5</v>
      </c>
      <c r="K20">
        <v>1.8310546875E-4</v>
      </c>
      <c r="L20">
        <v>1.220703125E-4</v>
      </c>
      <c r="M20" s="1">
        <v>6.103515625E-5</v>
      </c>
      <c r="N20">
        <v>2.44140625E-4</v>
      </c>
      <c r="O20">
        <v>2.44140625E-4</v>
      </c>
      <c r="P20">
        <v>3.662109375E-4</v>
      </c>
      <c r="Q20">
        <v>6.103515625E-4</v>
      </c>
      <c r="R20">
        <v>4.2724609375E-4</v>
      </c>
      <c r="S20">
        <v>1.8310546875E-4</v>
      </c>
      <c r="T20">
        <v>1</v>
      </c>
      <c r="U20">
        <v>1.64794921875E-3</v>
      </c>
      <c r="V20">
        <v>4.2724609375E-4</v>
      </c>
      <c r="W20">
        <v>2.44140625E-4</v>
      </c>
      <c r="X20">
        <v>2.44140625E-4</v>
      </c>
      <c r="Y20">
        <v>2.197265625E-3</v>
      </c>
      <c r="Z20">
        <v>3.0517578125E-4</v>
      </c>
      <c r="AA20">
        <v>6.7138671875E-4</v>
      </c>
      <c r="AB20">
        <v>3.0517578125E-4</v>
      </c>
      <c r="AC20">
        <v>3.662109375E-4</v>
      </c>
      <c r="AD20" s="1">
        <v>6.103515625E-5</v>
      </c>
    </row>
    <row r="21" spans="1:30" x14ac:dyDescent="0.25">
      <c r="A21">
        <v>6.7138671875E-4</v>
      </c>
      <c r="B21">
        <v>4.2724609375E-4</v>
      </c>
      <c r="C21">
        <v>1.8310546875E-4</v>
      </c>
      <c r="D21">
        <v>3.662109375E-4</v>
      </c>
      <c r="E21">
        <v>6.103515625E-4</v>
      </c>
      <c r="F21">
        <v>1.8310546875E-4</v>
      </c>
      <c r="G21">
        <v>1.03759765625E-3</v>
      </c>
      <c r="H21">
        <v>4.2724609375E-4</v>
      </c>
      <c r="I21">
        <v>1.28173828125E-3</v>
      </c>
      <c r="J21">
        <v>4.8828125E-4</v>
      </c>
      <c r="K21">
        <v>8.544921875E-4</v>
      </c>
      <c r="L21">
        <v>2.44140625E-4</v>
      </c>
      <c r="M21">
        <v>1.220703125E-4</v>
      </c>
      <c r="N21">
        <v>7.32421875E-4</v>
      </c>
      <c r="O21">
        <v>9.765625E-4</v>
      </c>
      <c r="P21">
        <v>1.220703125E-4</v>
      </c>
      <c r="Q21">
        <v>7.9345703125E-4</v>
      </c>
      <c r="R21">
        <v>1.77001953125E-3</v>
      </c>
      <c r="S21">
        <v>7.9345703125E-4</v>
      </c>
      <c r="T21">
        <v>1.64794921875E-3</v>
      </c>
      <c r="U21">
        <v>1.0020751953125</v>
      </c>
      <c r="V21">
        <v>1.8310546875E-4</v>
      </c>
      <c r="W21">
        <v>4.150390625E-3</v>
      </c>
      <c r="X21">
        <v>0</v>
      </c>
      <c r="Y21">
        <v>2.44140625E-4</v>
      </c>
      <c r="Z21">
        <v>5.4931640625E-4</v>
      </c>
      <c r="AA21">
        <v>3.0517578125E-4</v>
      </c>
      <c r="AB21">
        <v>3.662109375E-4</v>
      </c>
      <c r="AC21">
        <v>6.7138671875E-4</v>
      </c>
      <c r="AD21">
        <v>3.0517578125E-4</v>
      </c>
    </row>
    <row r="22" spans="1:30" x14ac:dyDescent="0.25">
      <c r="A22">
        <v>3.662109375E-4</v>
      </c>
      <c r="B22">
        <v>2.44140625E-4</v>
      </c>
      <c r="C22">
        <v>5.4931640625E-4</v>
      </c>
      <c r="D22">
        <v>5.4931640625E-4</v>
      </c>
      <c r="E22">
        <v>4.33349609375E-3</v>
      </c>
      <c r="F22">
        <v>1.46484375E-3</v>
      </c>
      <c r="G22">
        <v>3.662109375E-4</v>
      </c>
      <c r="H22">
        <v>5.4931640625E-4</v>
      </c>
      <c r="I22">
        <v>4.150390625E-3</v>
      </c>
      <c r="J22">
        <v>7.32421875E-4</v>
      </c>
      <c r="K22">
        <v>1.8310546875E-3</v>
      </c>
      <c r="L22">
        <v>4.2724609375E-4</v>
      </c>
      <c r="M22">
        <v>4.638671875E-3</v>
      </c>
      <c r="N22" s="1">
        <v>6.103515625E-5</v>
      </c>
      <c r="O22">
        <v>2.38037109375E-3</v>
      </c>
      <c r="P22">
        <v>4.8828125E-4</v>
      </c>
      <c r="Q22">
        <v>6.103515625E-4</v>
      </c>
      <c r="R22">
        <v>2.44140625E-4</v>
      </c>
      <c r="S22">
        <v>4.150390625E-3</v>
      </c>
      <c r="T22">
        <v>4.2724609375E-4</v>
      </c>
      <c r="U22">
        <v>1.8310546875E-4</v>
      </c>
      <c r="V22">
        <v>1.0020751953125</v>
      </c>
      <c r="W22">
        <v>4.150390625E-3</v>
      </c>
      <c r="X22">
        <v>1.8310546875E-4</v>
      </c>
      <c r="Y22">
        <v>2.44140625E-4</v>
      </c>
      <c r="Z22">
        <v>2.62451171875E-3</v>
      </c>
      <c r="AA22" s="1">
        <v>6.103515625E-5</v>
      </c>
      <c r="AB22">
        <v>4.8828125E-4</v>
      </c>
      <c r="AC22">
        <v>4.2724609375E-4</v>
      </c>
      <c r="AD22">
        <v>1.220703125E-4</v>
      </c>
    </row>
    <row r="23" spans="1:30" x14ac:dyDescent="0.25">
      <c r="A23">
        <v>1.220703125E-4</v>
      </c>
      <c r="B23" s="1">
        <v>6.103515625E-5</v>
      </c>
      <c r="C23">
        <v>6.103515625E-4</v>
      </c>
      <c r="D23">
        <v>6.103515625E-4</v>
      </c>
      <c r="E23">
        <v>3.662109375E-4</v>
      </c>
      <c r="F23">
        <v>3.662109375E-4</v>
      </c>
      <c r="G23">
        <v>1.8310546875E-4</v>
      </c>
      <c r="H23">
        <v>4.8828125E-4</v>
      </c>
      <c r="I23">
        <v>7.9345703125E-4</v>
      </c>
      <c r="J23">
        <v>4.39453125E-3</v>
      </c>
      <c r="K23">
        <v>1.3427734375E-3</v>
      </c>
      <c r="L23">
        <v>3.0517578125E-4</v>
      </c>
      <c r="M23">
        <v>6.103515625E-4</v>
      </c>
      <c r="N23">
        <v>7.32421875E-4</v>
      </c>
      <c r="O23">
        <v>5.4931640625E-4</v>
      </c>
      <c r="P23">
        <v>2.44140625E-4</v>
      </c>
      <c r="Q23">
        <v>3.662109375E-4</v>
      </c>
      <c r="R23">
        <v>2.44140625E-4</v>
      </c>
      <c r="S23">
        <v>1.59912109375E-2</v>
      </c>
      <c r="T23">
        <v>2.44140625E-4</v>
      </c>
      <c r="U23">
        <v>4.150390625E-3</v>
      </c>
      <c r="V23">
        <v>4.150390625E-3</v>
      </c>
      <c r="W23">
        <v>1</v>
      </c>
      <c r="X23">
        <v>1.8310546875E-4</v>
      </c>
      <c r="Y23">
        <v>2.44140625E-4</v>
      </c>
      <c r="Z23">
        <v>6.103515625E-4</v>
      </c>
      <c r="AA23">
        <v>1.0986328125E-3</v>
      </c>
      <c r="AB23">
        <v>1.220703125E-4</v>
      </c>
      <c r="AC23">
        <v>6.103515625E-4</v>
      </c>
      <c r="AD23">
        <v>0</v>
      </c>
    </row>
    <row r="24" spans="1:30" x14ac:dyDescent="0.25">
      <c r="A24">
        <v>1.8310546875E-4</v>
      </c>
      <c r="B24">
        <v>8.544921875E-4</v>
      </c>
      <c r="C24">
        <v>1.8310546875E-4</v>
      </c>
      <c r="D24">
        <v>3.662109375E-4</v>
      </c>
      <c r="E24">
        <v>1.708984375E-3</v>
      </c>
      <c r="F24">
        <v>7.32421875E-4</v>
      </c>
      <c r="G24">
        <v>3.0517578125E-4</v>
      </c>
      <c r="H24">
        <v>1.8310546875E-4</v>
      </c>
      <c r="I24">
        <v>1.0986328125E-3</v>
      </c>
      <c r="J24">
        <v>1.8310546875E-4</v>
      </c>
      <c r="K24">
        <v>6.103515625E-4</v>
      </c>
      <c r="L24">
        <v>4.33349609375E-3</v>
      </c>
      <c r="M24">
        <v>1.3427734375E-3</v>
      </c>
      <c r="N24">
        <v>1.0986328125E-3</v>
      </c>
      <c r="O24">
        <v>1.8310546875E-4</v>
      </c>
      <c r="P24">
        <v>1.89208984375E-3</v>
      </c>
      <c r="Q24">
        <v>3.662109375E-4</v>
      </c>
      <c r="R24">
        <v>0</v>
      </c>
      <c r="S24">
        <v>2.44140625E-4</v>
      </c>
      <c r="T24">
        <v>2.44140625E-4</v>
      </c>
      <c r="U24">
        <v>0</v>
      </c>
      <c r="V24">
        <v>1.8310546875E-4</v>
      </c>
      <c r="W24">
        <v>1.8310546875E-4</v>
      </c>
      <c r="X24">
        <v>1</v>
      </c>
      <c r="Y24">
        <v>7.9345703125E-4</v>
      </c>
      <c r="Z24">
        <v>1.03759765625E-3</v>
      </c>
      <c r="AA24">
        <v>1.8310546875E-4</v>
      </c>
      <c r="AB24">
        <v>1.77001953125E-3</v>
      </c>
      <c r="AC24">
        <v>1.220703125E-4</v>
      </c>
      <c r="AD24">
        <v>1.220703125E-4</v>
      </c>
    </row>
    <row r="25" spans="1:30" x14ac:dyDescent="0.25">
      <c r="A25">
        <v>1.03759765625E-3</v>
      </c>
      <c r="B25">
        <v>7.9345703125E-4</v>
      </c>
      <c r="C25">
        <v>1.3427734375E-3</v>
      </c>
      <c r="D25">
        <v>1.3427734375E-3</v>
      </c>
      <c r="E25">
        <v>3.0517578125E-4</v>
      </c>
      <c r="F25">
        <v>0</v>
      </c>
      <c r="G25" s="1">
        <v>6.103515625E-5</v>
      </c>
      <c r="H25">
        <v>1.220703125E-3</v>
      </c>
      <c r="I25" s="1">
        <v>6.103515625E-5</v>
      </c>
      <c r="J25">
        <v>1.77001953125E-3</v>
      </c>
      <c r="K25">
        <v>1.220703125E-4</v>
      </c>
      <c r="L25">
        <v>1.0986328125E-3</v>
      </c>
      <c r="M25">
        <v>1.8310546875E-4</v>
      </c>
      <c r="N25">
        <v>4.08935546875E-3</v>
      </c>
      <c r="O25">
        <v>5.4931640625E-4</v>
      </c>
      <c r="P25">
        <v>1.3427734375E-3</v>
      </c>
      <c r="Q25">
        <v>0</v>
      </c>
      <c r="R25">
        <v>5.18798828125E-3</v>
      </c>
      <c r="S25">
        <v>1.220703125E-4</v>
      </c>
      <c r="T25">
        <v>2.197265625E-3</v>
      </c>
      <c r="U25">
        <v>2.44140625E-4</v>
      </c>
      <c r="V25">
        <v>2.44140625E-4</v>
      </c>
      <c r="W25">
        <v>2.44140625E-4</v>
      </c>
      <c r="X25">
        <v>7.9345703125E-4</v>
      </c>
      <c r="Y25">
        <v>1.000244140625</v>
      </c>
      <c r="Z25">
        <v>6.7138671875E-4</v>
      </c>
      <c r="AA25">
        <v>5.4931640625E-4</v>
      </c>
      <c r="AB25">
        <v>3.0517578125E-4</v>
      </c>
      <c r="AC25">
        <v>9.765625E-4</v>
      </c>
      <c r="AD25">
        <v>3.0517578125E-4</v>
      </c>
    </row>
    <row r="26" spans="1:30" x14ac:dyDescent="0.25">
      <c r="A26">
        <v>2.44140625E-4</v>
      </c>
      <c r="B26">
        <v>7.9345703125E-4</v>
      </c>
      <c r="C26">
        <v>3.662109375E-4</v>
      </c>
      <c r="D26">
        <v>1.3427734375E-3</v>
      </c>
      <c r="E26">
        <v>1.8310546875E-4</v>
      </c>
      <c r="F26">
        <v>5.4931640625E-4</v>
      </c>
      <c r="G26">
        <v>1.220703125E-4</v>
      </c>
      <c r="H26">
        <v>1.220703125E-4</v>
      </c>
      <c r="I26">
        <v>4.8828125E-4</v>
      </c>
      <c r="J26">
        <v>3.662109375E-4</v>
      </c>
      <c r="K26">
        <v>1.15966796875E-3</v>
      </c>
      <c r="L26">
        <v>3.0517578125E-4</v>
      </c>
      <c r="M26">
        <v>4.2724609375E-3</v>
      </c>
      <c r="N26">
        <v>1.40380859375E-3</v>
      </c>
      <c r="O26">
        <v>1.8310546875E-4</v>
      </c>
      <c r="P26">
        <v>3.662109375E-4</v>
      </c>
      <c r="Q26">
        <v>9.1552734375E-4</v>
      </c>
      <c r="R26">
        <v>2.3193359375E-3</v>
      </c>
      <c r="S26">
        <v>6.7138671875E-4</v>
      </c>
      <c r="T26">
        <v>3.0517578125E-4</v>
      </c>
      <c r="U26">
        <v>5.4931640625E-4</v>
      </c>
      <c r="V26">
        <v>2.62451171875E-3</v>
      </c>
      <c r="W26">
        <v>6.103515625E-4</v>
      </c>
      <c r="X26">
        <v>1.03759765625E-3</v>
      </c>
      <c r="Y26">
        <v>6.7138671875E-4</v>
      </c>
      <c r="Z26">
        <v>1.0001220703125</v>
      </c>
      <c r="AA26">
        <v>2.44140625E-4</v>
      </c>
      <c r="AB26">
        <v>4.8828125E-4</v>
      </c>
      <c r="AC26">
        <v>3.0517578125E-4</v>
      </c>
      <c r="AD26">
        <v>3.0517578125E-4</v>
      </c>
    </row>
    <row r="27" spans="1:30" x14ac:dyDescent="0.25">
      <c r="A27">
        <v>6.7138671875E-4</v>
      </c>
      <c r="B27">
        <v>1.220703125E-4</v>
      </c>
      <c r="C27">
        <v>3.662109375E-4</v>
      </c>
      <c r="D27">
        <v>4.8828125E-4</v>
      </c>
      <c r="E27">
        <v>1.220703125E-4</v>
      </c>
      <c r="F27">
        <v>2.44140625E-4</v>
      </c>
      <c r="G27">
        <v>7.32421875E-4</v>
      </c>
      <c r="H27">
        <v>1.953125E-3</v>
      </c>
      <c r="I27">
        <v>4.2724609375E-4</v>
      </c>
      <c r="J27" s="1">
        <v>6.103515625E-5</v>
      </c>
      <c r="K27">
        <v>3.0517578125E-4</v>
      </c>
      <c r="L27">
        <v>3.0517578125E-4</v>
      </c>
      <c r="M27">
        <v>1.8310546875E-4</v>
      </c>
      <c r="N27" s="1">
        <v>6.103515625E-5</v>
      </c>
      <c r="O27">
        <v>3.662109375E-4</v>
      </c>
      <c r="P27">
        <v>4.8828125E-4</v>
      </c>
      <c r="Q27">
        <v>1.220703125E-4</v>
      </c>
      <c r="R27">
        <v>1.220703125E-4</v>
      </c>
      <c r="S27">
        <v>7.32421875E-4</v>
      </c>
      <c r="T27">
        <v>6.7138671875E-4</v>
      </c>
      <c r="U27">
        <v>3.0517578125E-4</v>
      </c>
      <c r="V27" s="1">
        <v>6.103515625E-5</v>
      </c>
      <c r="W27">
        <v>1.0986328125E-3</v>
      </c>
      <c r="X27">
        <v>1.8310546875E-4</v>
      </c>
      <c r="Y27">
        <v>5.4931640625E-4</v>
      </c>
      <c r="Z27">
        <v>2.44140625E-4</v>
      </c>
      <c r="AA27">
        <v>1.0001220703125</v>
      </c>
      <c r="AB27">
        <v>1.5869140625E-3</v>
      </c>
      <c r="AC27">
        <v>1.708984375E-3</v>
      </c>
      <c r="AD27">
        <v>6.7138671875E-4</v>
      </c>
    </row>
    <row r="28" spans="1:30" x14ac:dyDescent="0.25">
      <c r="A28">
        <v>2.44140625E-4</v>
      </c>
      <c r="B28">
        <v>4.2724609375E-4</v>
      </c>
      <c r="C28">
        <v>7.32421875E-4</v>
      </c>
      <c r="D28">
        <v>1.03759765625E-3</v>
      </c>
      <c r="E28">
        <v>5.2490234375E-3</v>
      </c>
      <c r="F28">
        <v>1.220703125E-4</v>
      </c>
      <c r="G28">
        <v>5.4931640625E-4</v>
      </c>
      <c r="H28">
        <v>1.8310546875E-4</v>
      </c>
      <c r="I28">
        <v>1.28173828125E-3</v>
      </c>
      <c r="J28">
        <v>5.4931640625E-4</v>
      </c>
      <c r="K28">
        <v>4.8828125E-4</v>
      </c>
      <c r="L28" s="1">
        <v>6.103515625E-5</v>
      </c>
      <c r="M28" s="1">
        <v>6.103515625E-5</v>
      </c>
      <c r="N28">
        <v>4.2724609375E-4</v>
      </c>
      <c r="O28">
        <v>2.44140625E-4</v>
      </c>
      <c r="P28">
        <v>6.298828125E-2</v>
      </c>
      <c r="Q28">
        <v>1.8310546875E-4</v>
      </c>
      <c r="R28">
        <v>4.2724609375E-4</v>
      </c>
      <c r="S28">
        <v>4.2724609375E-4</v>
      </c>
      <c r="T28">
        <v>3.0517578125E-4</v>
      </c>
      <c r="U28">
        <v>3.662109375E-4</v>
      </c>
      <c r="V28">
        <v>4.8828125E-4</v>
      </c>
      <c r="W28">
        <v>1.220703125E-4</v>
      </c>
      <c r="X28">
        <v>1.77001953125E-3</v>
      </c>
      <c r="Y28">
        <v>3.0517578125E-4</v>
      </c>
      <c r="Z28">
        <v>4.8828125E-4</v>
      </c>
      <c r="AA28">
        <v>1.5869140625E-3</v>
      </c>
      <c r="AB28">
        <v>1.00048828125</v>
      </c>
      <c r="AC28">
        <v>4.2724609375E-4</v>
      </c>
      <c r="AD28">
        <v>1.220703125E-3</v>
      </c>
    </row>
    <row r="29" spans="1:30" x14ac:dyDescent="0.25">
      <c r="A29">
        <v>5.4931640625E-4</v>
      </c>
      <c r="B29">
        <v>6.103515625E-4</v>
      </c>
      <c r="C29">
        <v>0</v>
      </c>
      <c r="D29">
        <v>3.662109375E-4</v>
      </c>
      <c r="E29">
        <v>1.220703125E-3</v>
      </c>
      <c r="F29">
        <v>4.21142578125E-3</v>
      </c>
      <c r="G29">
        <v>1.220703125E-4</v>
      </c>
      <c r="H29">
        <v>4.2724609375E-4</v>
      </c>
      <c r="I29">
        <v>8.544921875E-4</v>
      </c>
      <c r="J29">
        <v>1.220703125E-4</v>
      </c>
      <c r="K29">
        <v>3.0517578125E-4</v>
      </c>
      <c r="L29">
        <v>2.44140625E-4</v>
      </c>
      <c r="M29" s="1">
        <v>6.103515625E-5</v>
      </c>
      <c r="N29">
        <v>1.46484375E-3</v>
      </c>
      <c r="O29">
        <v>8.544921875E-4</v>
      </c>
      <c r="P29">
        <v>1.8310546875E-4</v>
      </c>
      <c r="Q29">
        <v>4.94384765625E-3</v>
      </c>
      <c r="R29">
        <v>4.2724609375E-4</v>
      </c>
      <c r="S29" s="1">
        <v>6.103515625E-5</v>
      </c>
      <c r="T29">
        <v>3.662109375E-4</v>
      </c>
      <c r="U29">
        <v>6.7138671875E-4</v>
      </c>
      <c r="V29">
        <v>4.2724609375E-4</v>
      </c>
      <c r="W29">
        <v>6.103515625E-4</v>
      </c>
      <c r="X29">
        <v>1.220703125E-4</v>
      </c>
      <c r="Y29">
        <v>9.765625E-4</v>
      </c>
      <c r="Z29">
        <v>3.0517578125E-4</v>
      </c>
      <c r="AA29">
        <v>1.708984375E-3</v>
      </c>
      <c r="AB29">
        <v>4.2724609375E-4</v>
      </c>
      <c r="AC29">
        <v>1</v>
      </c>
      <c r="AD29">
        <v>1.03759765625E-3</v>
      </c>
    </row>
    <row r="30" spans="1:30" x14ac:dyDescent="0.25">
      <c r="A30">
        <v>1.220703125E-4</v>
      </c>
      <c r="B30">
        <v>7.32421875E-4</v>
      </c>
      <c r="C30">
        <v>4.8828125E-4</v>
      </c>
      <c r="D30">
        <v>1.3427734375E-3</v>
      </c>
      <c r="E30">
        <v>3.662109375E-4</v>
      </c>
      <c r="F30">
        <v>1.8310546875E-4</v>
      </c>
      <c r="G30">
        <v>3.662109375E-4</v>
      </c>
      <c r="H30">
        <v>3.662109375E-4</v>
      </c>
      <c r="I30">
        <v>6.7138671875E-4</v>
      </c>
      <c r="J30">
        <v>1.64794921875E-3</v>
      </c>
      <c r="K30">
        <v>6.7138671875E-4</v>
      </c>
      <c r="L30">
        <v>3.0517578125E-4</v>
      </c>
      <c r="M30">
        <v>1.8310546875E-4</v>
      </c>
      <c r="N30">
        <v>4.8828125E-4</v>
      </c>
      <c r="O30">
        <v>1.28173828125E-3</v>
      </c>
      <c r="P30">
        <v>4.2724609375E-4</v>
      </c>
      <c r="Q30">
        <v>1.52587890625E-3</v>
      </c>
      <c r="R30">
        <v>5.4931640625E-4</v>
      </c>
      <c r="S30">
        <v>2.44140625E-4</v>
      </c>
      <c r="T30" s="1">
        <v>6.103515625E-5</v>
      </c>
      <c r="U30">
        <v>3.0517578125E-4</v>
      </c>
      <c r="V30">
        <v>1.220703125E-4</v>
      </c>
      <c r="W30">
        <v>0</v>
      </c>
      <c r="X30">
        <v>1.220703125E-4</v>
      </c>
      <c r="Y30">
        <v>3.0517578125E-4</v>
      </c>
      <c r="Z30">
        <v>3.0517578125E-4</v>
      </c>
      <c r="AA30">
        <v>6.7138671875E-4</v>
      </c>
      <c r="AB30">
        <v>1.220703125E-3</v>
      </c>
      <c r="AC30">
        <v>1.03759765625E-3</v>
      </c>
      <c r="AD30">
        <v>1.000244140625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"/>
  <sheetViews>
    <sheetView topLeftCell="C1" workbookViewId="0">
      <selection activeCell="AD30" sqref="AD30"/>
    </sheetView>
  </sheetViews>
  <sheetFormatPr defaultColWidth="11.42578125" defaultRowHeight="15" x14ac:dyDescent="0.25"/>
  <sheetData>
    <row r="1" spans="1:16" x14ac:dyDescent="0.25">
      <c r="A1">
        <v>0</v>
      </c>
    </row>
    <row r="2" spans="1:16" x14ac:dyDescent="0.25">
      <c r="B2">
        <v>0</v>
      </c>
    </row>
    <row r="3" spans="1:16" x14ac:dyDescent="0.25">
      <c r="C3">
        <v>0</v>
      </c>
    </row>
    <row r="4" spans="1:16" x14ac:dyDescent="0.25">
      <c r="D4">
        <v>0</v>
      </c>
    </row>
    <row r="5" spans="1:16" x14ac:dyDescent="0.25">
      <c r="E5">
        <v>0</v>
      </c>
    </row>
    <row r="6" spans="1:16" x14ac:dyDescent="0.25">
      <c r="F6">
        <v>0</v>
      </c>
    </row>
    <row r="7" spans="1:16" x14ac:dyDescent="0.25">
      <c r="G7">
        <v>0</v>
      </c>
    </row>
    <row r="8" spans="1:16" x14ac:dyDescent="0.25">
      <c r="H8">
        <v>0</v>
      </c>
    </row>
    <row r="9" spans="1:16" x14ac:dyDescent="0.25">
      <c r="I9">
        <v>0</v>
      </c>
    </row>
    <row r="10" spans="1:16" x14ac:dyDescent="0.25">
      <c r="J10">
        <v>0</v>
      </c>
    </row>
    <row r="11" spans="1:16" x14ac:dyDescent="0.25">
      <c r="K11">
        <v>0</v>
      </c>
    </row>
    <row r="12" spans="1:16" x14ac:dyDescent="0.25">
      <c r="L12">
        <v>0</v>
      </c>
    </row>
    <row r="13" spans="1:16" x14ac:dyDescent="0.25">
      <c r="M13">
        <v>0</v>
      </c>
    </row>
    <row r="14" spans="1:16" x14ac:dyDescent="0.25">
      <c r="N14">
        <v>0</v>
      </c>
    </row>
    <row r="15" spans="1:16" x14ac:dyDescent="0.25">
      <c r="O15">
        <v>0</v>
      </c>
    </row>
    <row r="16" spans="1:16" x14ac:dyDescent="0.25">
      <c r="P16">
        <v>0</v>
      </c>
    </row>
    <row r="17" spans="17:30" x14ac:dyDescent="0.25">
      <c r="Q17">
        <v>0</v>
      </c>
    </row>
    <row r="18" spans="17:30" x14ac:dyDescent="0.25">
      <c r="R18">
        <v>0</v>
      </c>
    </row>
    <row r="19" spans="17:30" x14ac:dyDescent="0.25">
      <c r="S19">
        <v>0</v>
      </c>
    </row>
    <row r="20" spans="17:30" x14ac:dyDescent="0.25">
      <c r="T20">
        <v>0</v>
      </c>
    </row>
    <row r="21" spans="17:30" x14ac:dyDescent="0.25">
      <c r="U21">
        <v>0</v>
      </c>
    </row>
    <row r="22" spans="17:30" x14ac:dyDescent="0.25">
      <c r="V22">
        <v>0</v>
      </c>
    </row>
    <row r="23" spans="17:30" x14ac:dyDescent="0.25">
      <c r="W23">
        <v>0</v>
      </c>
    </row>
    <row r="24" spans="17:30" x14ac:dyDescent="0.25">
      <c r="X24">
        <v>0</v>
      </c>
    </row>
    <row r="25" spans="17:30" x14ac:dyDescent="0.25">
      <c r="Y25">
        <v>0</v>
      </c>
    </row>
    <row r="26" spans="17:30" x14ac:dyDescent="0.25">
      <c r="Z26">
        <v>0</v>
      </c>
    </row>
    <row r="27" spans="17:30" x14ac:dyDescent="0.25">
      <c r="AA27">
        <v>0</v>
      </c>
    </row>
    <row r="28" spans="17:30" x14ac:dyDescent="0.25">
      <c r="AB28">
        <v>0</v>
      </c>
    </row>
    <row r="29" spans="17:30" x14ac:dyDescent="0.25">
      <c r="AC29">
        <v>0</v>
      </c>
    </row>
    <row r="30" spans="17:30" x14ac:dyDescent="0.25">
      <c r="AD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/>
  </sheetViews>
  <sheetFormatPr defaultColWidth="11.42578125"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>
        <v>1</v>
      </c>
      <c r="B2">
        <v>8.7164487751687406E-2</v>
      </c>
    </row>
    <row r="3" spans="1:2" x14ac:dyDescent="0.25">
      <c r="A3">
        <v>2</v>
      </c>
      <c r="B3">
        <v>0.16741701127686501</v>
      </c>
    </row>
    <row r="4" spans="1:2" x14ac:dyDescent="0.25">
      <c r="A4">
        <v>3</v>
      </c>
      <c r="B4">
        <v>0.211839227320502</v>
      </c>
    </row>
    <row r="5" spans="1:2" x14ac:dyDescent="0.25">
      <c r="A5">
        <v>4</v>
      </c>
      <c r="B5">
        <v>7.1323382158590704E-3</v>
      </c>
    </row>
    <row r="6" spans="1:2" x14ac:dyDescent="0.25">
      <c r="A6">
        <v>5</v>
      </c>
      <c r="B6">
        <v>3.2944886084159498E-8</v>
      </c>
    </row>
    <row r="7" spans="1:2" x14ac:dyDescent="0.25">
      <c r="A7">
        <v>6</v>
      </c>
      <c r="B7">
        <v>4.53419977308119E-8</v>
      </c>
    </row>
    <row r="8" spans="1:2" x14ac:dyDescent="0.25">
      <c r="A8">
        <v>7</v>
      </c>
      <c r="B8">
        <v>1.50056117290425E-7</v>
      </c>
    </row>
    <row r="9" spans="1:2" x14ac:dyDescent="0.25">
      <c r="A9">
        <v>8</v>
      </c>
      <c r="B9">
        <v>8.32224993709019E-9</v>
      </c>
    </row>
    <row r="10" spans="1:2" x14ac:dyDescent="0.25">
      <c r="A10">
        <v>9</v>
      </c>
      <c r="B10">
        <v>2.26950158979124E-2</v>
      </c>
    </row>
    <row r="11" spans="1:2" x14ac:dyDescent="0.25">
      <c r="A11">
        <v>10</v>
      </c>
      <c r="B11">
        <v>2.8577146924242001E-8</v>
      </c>
    </row>
    <row r="12" spans="1:2" x14ac:dyDescent="0.25">
      <c r="A12">
        <v>11</v>
      </c>
      <c r="B12">
        <v>2.7248169703158801E-8</v>
      </c>
    </row>
    <row r="13" spans="1:2" x14ac:dyDescent="0.25">
      <c r="A13">
        <v>12</v>
      </c>
      <c r="B13">
        <v>1.93393240727886E-7</v>
      </c>
    </row>
    <row r="14" spans="1:2" x14ac:dyDescent="0.25">
      <c r="A14">
        <v>13</v>
      </c>
      <c r="B14">
        <v>3.4000853314357998E-8</v>
      </c>
    </row>
    <row r="15" spans="1:2" x14ac:dyDescent="0.25">
      <c r="A15">
        <v>14</v>
      </c>
      <c r="B15">
        <v>4.27938154451398E-9</v>
      </c>
    </row>
    <row r="16" spans="1:2" x14ac:dyDescent="0.25">
      <c r="A16">
        <v>15</v>
      </c>
      <c r="B16">
        <v>1.13662353542107E-8</v>
      </c>
    </row>
    <row r="17" spans="1:2" x14ac:dyDescent="0.25">
      <c r="A17">
        <v>16</v>
      </c>
      <c r="B17">
        <v>5.9325339070462797E-9</v>
      </c>
    </row>
    <row r="18" spans="1:2" x14ac:dyDescent="0.25">
      <c r="A18">
        <v>17</v>
      </c>
      <c r="B18">
        <v>4.7997696055399098E-8</v>
      </c>
    </row>
    <row r="19" spans="1:2" x14ac:dyDescent="0.25">
      <c r="A19">
        <v>18</v>
      </c>
      <c r="B19">
        <v>4.2063601488910601E-4</v>
      </c>
    </row>
    <row r="20" spans="1:2" x14ac:dyDescent="0.25">
      <c r="A20">
        <v>19</v>
      </c>
      <c r="B20">
        <v>4.2066061684544799E-4</v>
      </c>
    </row>
    <row r="21" spans="1:2" x14ac:dyDescent="0.25">
      <c r="A21">
        <v>20</v>
      </c>
      <c r="B21">
        <v>2.2695067936019098E-2</v>
      </c>
    </row>
    <row r="22" spans="1:2" x14ac:dyDescent="0.25">
      <c r="A22">
        <v>21</v>
      </c>
      <c r="B22">
        <v>7.4641146176261501E-9</v>
      </c>
    </row>
    <row r="23" spans="1:2" x14ac:dyDescent="0.25">
      <c r="A23">
        <v>22</v>
      </c>
      <c r="B23">
        <v>1.1340377793453301E-3</v>
      </c>
    </row>
    <row r="24" spans="1:2" x14ac:dyDescent="0.25">
      <c r="A24">
        <v>23</v>
      </c>
      <c r="B24">
        <v>3.33097822779068E-3</v>
      </c>
    </row>
    <row r="25" spans="1:2" x14ac:dyDescent="0.25">
      <c r="A25">
        <v>24</v>
      </c>
      <c r="B25">
        <v>7.1322539913185896E-3</v>
      </c>
    </row>
    <row r="26" spans="1:2" x14ac:dyDescent="0.25">
      <c r="A26">
        <v>25</v>
      </c>
      <c r="B26">
        <v>5.5387418333240302E-9</v>
      </c>
    </row>
    <row r="27" spans="1:2" x14ac:dyDescent="0.25">
      <c r="A27">
        <v>26</v>
      </c>
      <c r="B27">
        <v>6.2980121644828904E-9</v>
      </c>
    </row>
    <row r="28" spans="1:2" x14ac:dyDescent="0.25">
      <c r="A28">
        <v>27</v>
      </c>
      <c r="B28">
        <v>0.17074798266374899</v>
      </c>
    </row>
    <row r="29" spans="1:2" x14ac:dyDescent="0.25">
      <c r="A29">
        <v>28</v>
      </c>
      <c r="B29">
        <v>9.9340416144394003E-9</v>
      </c>
    </row>
    <row r="30" spans="1:2" x14ac:dyDescent="0.25">
      <c r="A30">
        <v>29</v>
      </c>
      <c r="B30">
        <v>5.5797608106299599E-9</v>
      </c>
    </row>
    <row r="31" spans="1:2" x14ac:dyDescent="0.25">
      <c r="A31">
        <v>30</v>
      </c>
      <c r="B31">
        <v>0.29786967802411002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/>
  </sheetViews>
  <sheetFormatPr defaultColWidth="11.42578125" defaultRowHeight="15" x14ac:dyDescent="0.25"/>
  <sheetData>
    <row r="1" spans="1:6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25">
      <c r="A2">
        <v>3</v>
      </c>
      <c r="B2">
        <v>30</v>
      </c>
      <c r="C2">
        <v>0.42141000000000001</v>
      </c>
      <c r="D2">
        <v>421</v>
      </c>
      <c r="E2">
        <f>IFERROR(ROUND(D2 * (VLOOKUP(A2, Operational_Plan_Simple!$A$2:$F$14, 6, FALSE)) / ((VLOOKUP(A2, Operational_Plan_Simple!$A$2:$F$14, 6, FALSE)) + (VLOOKUP(B2, Operational_Plan_Simple!$A$2:$F$14, 6, FALSE))), 0), ROUND(D2 * 0.5, 0))</f>
        <v>211</v>
      </c>
      <c r="F2">
        <f t="shared" ref="F2:F17" si="0">D2 - E2</f>
        <v>210</v>
      </c>
    </row>
    <row r="3" spans="1:6" x14ac:dyDescent="0.25">
      <c r="A3">
        <v>2</v>
      </c>
      <c r="B3">
        <v>27</v>
      </c>
      <c r="C3">
        <v>0.33483000000000002</v>
      </c>
      <c r="D3">
        <v>335</v>
      </c>
      <c r="E3">
        <f>IFERROR(ROUND(D3 * (VLOOKUP(A3, Operational_Plan_Simple!$A$2:$F$14, 6, FALSE)) / ((VLOOKUP(A3, Operational_Plan_Simple!$A$2:$F$14, 6, FALSE)) + (VLOOKUP(B3, Operational_Plan_Simple!$A$2:$F$14, 6, FALSE))), 0), ROUND(D3 * 0.5, 0))</f>
        <v>168</v>
      </c>
      <c r="F3">
        <f t="shared" si="0"/>
        <v>167</v>
      </c>
    </row>
    <row r="4" spans="1:6" x14ac:dyDescent="0.25">
      <c r="A4">
        <v>1</v>
      </c>
      <c r="B4">
        <v>30</v>
      </c>
      <c r="C4">
        <v>0.17433000000000001</v>
      </c>
      <c r="D4">
        <v>174</v>
      </c>
      <c r="E4">
        <f>IFERROR(ROUND(D4 * (VLOOKUP(A4, Operational_Plan_Simple!$A$2:$F$14, 6, FALSE)) / ((VLOOKUP(A4, Operational_Plan_Simple!$A$2:$F$14, 6, FALSE)) + (VLOOKUP(B4, Operational_Plan_Simple!$A$2:$F$14, 6, FALSE))), 0), ROUND(D4 * 0.5, 0))</f>
        <v>87</v>
      </c>
      <c r="F4">
        <f t="shared" si="0"/>
        <v>87</v>
      </c>
    </row>
    <row r="5" spans="1:6" x14ac:dyDescent="0.25">
      <c r="A5">
        <v>9</v>
      </c>
      <c r="B5">
        <v>20</v>
      </c>
      <c r="C5">
        <v>4.539E-2</v>
      </c>
      <c r="D5">
        <v>45</v>
      </c>
      <c r="E5">
        <f>IFERROR(ROUND(D5 * (VLOOKUP(A5, Operational_Plan_Simple!$A$2:$F$14, 6, FALSE)) / ((VLOOKUP(A5, Operational_Plan_Simple!$A$2:$F$14, 6, FALSE)) + (VLOOKUP(B5, Operational_Plan_Simple!$A$2:$F$14, 6, FALSE))), 0), ROUND(D5 * 0.5, 0))</f>
        <v>23</v>
      </c>
      <c r="F5">
        <f t="shared" si="0"/>
        <v>22</v>
      </c>
    </row>
    <row r="6" spans="1:6" x14ac:dyDescent="0.25">
      <c r="A6">
        <v>4</v>
      </c>
      <c r="B6">
        <v>24</v>
      </c>
      <c r="C6">
        <v>1.426E-2</v>
      </c>
      <c r="D6">
        <v>14</v>
      </c>
      <c r="E6">
        <f>IFERROR(ROUND(D6 * (VLOOKUP(A6, Operational_Plan_Simple!$A$2:$F$14, 6, FALSE)) / ((VLOOKUP(A6, Operational_Plan_Simple!$A$2:$F$14, 6, FALSE)) + (VLOOKUP(B6, Operational_Plan_Simple!$A$2:$F$14, 6, FALSE))), 0), ROUND(D6 * 0.5, 0))</f>
        <v>7</v>
      </c>
      <c r="F6">
        <f t="shared" si="0"/>
        <v>7</v>
      </c>
    </row>
    <row r="7" spans="1:6" x14ac:dyDescent="0.25">
      <c r="A7">
        <v>23</v>
      </c>
      <c r="B7">
        <v>27</v>
      </c>
      <c r="C7">
        <v>6.6600000000000001E-3</v>
      </c>
      <c r="D7">
        <v>7</v>
      </c>
      <c r="E7">
        <f>IFERROR(ROUND(D7 * (VLOOKUP(A7, Operational_Plan_Simple!$A$2:$F$14, 6, FALSE)) / ((VLOOKUP(A7, Operational_Plan_Simple!$A$2:$F$14, 6, FALSE)) + (VLOOKUP(B7, Operational_Plan_Simple!$A$2:$F$14, 6, FALSE))), 0), ROUND(D7 * 0.5, 0))</f>
        <v>4</v>
      </c>
      <c r="F7">
        <f t="shared" si="0"/>
        <v>3</v>
      </c>
    </row>
    <row r="8" spans="1:6" x14ac:dyDescent="0.25">
      <c r="A8">
        <v>3</v>
      </c>
      <c r="B8">
        <v>22</v>
      </c>
      <c r="C8">
        <v>2.2699999999999999E-3</v>
      </c>
      <c r="D8">
        <v>2</v>
      </c>
      <c r="E8">
        <f>IFERROR(ROUND(D8 * (VLOOKUP(A8, Operational_Plan_Simple!$A$2:$F$14, 6, FALSE)) / ((VLOOKUP(A8, Operational_Plan_Simple!$A$2:$F$14, 6, FALSE)) + (VLOOKUP(B8, Operational_Plan_Simple!$A$2:$F$14, 6, FALSE))), 0), ROUND(D8 * 0.5, 0))</f>
        <v>1</v>
      </c>
      <c r="F8">
        <f t="shared" si="0"/>
        <v>1</v>
      </c>
    </row>
    <row r="9" spans="1:6" x14ac:dyDescent="0.25">
      <c r="A9">
        <v>18</v>
      </c>
      <c r="B9">
        <v>19</v>
      </c>
      <c r="C9">
        <v>8.4000000000000003E-4</v>
      </c>
      <c r="D9">
        <v>1</v>
      </c>
      <c r="E9">
        <f>IFERROR(ROUND(D9 * (VLOOKUP(A9, Operational_Plan_Simple!$A$2:$F$14, 6, FALSE)) / ((VLOOKUP(A9, Operational_Plan_Simple!$A$2:$F$14, 6, FALSE)) + (VLOOKUP(B9, Operational_Plan_Simple!$A$2:$F$14, 6, FALSE))), 0), ROUND(D9 * 0.5, 0))</f>
        <v>1</v>
      </c>
      <c r="F9">
        <f t="shared" si="0"/>
        <v>0</v>
      </c>
    </row>
    <row r="10" spans="1:6" x14ac:dyDescent="0.25">
      <c r="A10">
        <v>4</v>
      </c>
      <c r="B10">
        <v>6</v>
      </c>
      <c r="C10">
        <v>0</v>
      </c>
      <c r="D10">
        <v>0</v>
      </c>
      <c r="E10">
        <f>IFERROR(ROUND(D10 * (VLOOKUP(A10, Operational_Plan_Simple!$A$2:$F$14, 6, FALSE)) / ((VLOOKUP(A10, Operational_Plan_Simple!$A$2:$F$14, 6, FALSE)) + (VLOOKUP(B10, Operational_Plan_Simple!$A$2:$F$14, 6, FALSE))), 0), ROUND(D10 * 0.5, 0))</f>
        <v>0</v>
      </c>
      <c r="F10">
        <f t="shared" si="0"/>
        <v>0</v>
      </c>
    </row>
    <row r="11" spans="1:6" x14ac:dyDescent="0.25">
      <c r="A11">
        <v>4</v>
      </c>
      <c r="B11">
        <v>17</v>
      </c>
      <c r="C11">
        <v>0</v>
      </c>
      <c r="D11">
        <v>0</v>
      </c>
      <c r="E11">
        <f>IFERROR(ROUND(D11 * (VLOOKUP(A11, Operational_Plan_Simple!$A$2:$F$14, 6, FALSE)) / ((VLOOKUP(A11, Operational_Plan_Simple!$A$2:$F$14, 6, FALSE)) + (VLOOKUP(B11, Operational_Plan_Simple!$A$2:$F$14, 6, FALSE))), 0), ROUND(D11 * 0.5, 0))</f>
        <v>0</v>
      </c>
      <c r="F11">
        <f t="shared" si="0"/>
        <v>0</v>
      </c>
    </row>
    <row r="12" spans="1:6" x14ac:dyDescent="0.25">
      <c r="A12">
        <v>5</v>
      </c>
      <c r="B12">
        <v>19</v>
      </c>
      <c r="C12">
        <v>0</v>
      </c>
      <c r="D12">
        <v>0</v>
      </c>
      <c r="E12">
        <f>IFERROR(ROUND(D12 * (VLOOKUP(A12, Operational_Plan_Simple!$A$2:$F$14, 6, FALSE)) / ((VLOOKUP(A12, Operational_Plan_Simple!$A$2:$F$14, 6, FALSE)) + (VLOOKUP(B12, Operational_Plan_Simple!$A$2:$F$14, 6, FALSE))), 0), ROUND(D12 * 0.5, 0))</f>
        <v>0</v>
      </c>
      <c r="F12">
        <f t="shared" si="0"/>
        <v>0</v>
      </c>
    </row>
    <row r="13" spans="1:6" x14ac:dyDescent="0.25">
      <c r="A13">
        <v>7</v>
      </c>
      <c r="B13">
        <v>9</v>
      </c>
      <c r="C13">
        <v>0</v>
      </c>
      <c r="D13">
        <v>0</v>
      </c>
      <c r="E13">
        <f>IFERROR(ROUND(D13 * (VLOOKUP(A13, Operational_Plan_Simple!$A$2:$F$14, 6, FALSE)) / ((VLOOKUP(A13, Operational_Plan_Simple!$A$2:$F$14, 6, FALSE)) + (VLOOKUP(B13, Operational_Plan_Simple!$A$2:$F$14, 6, FALSE))), 0), ROUND(D13 * 0.5, 0))</f>
        <v>0</v>
      </c>
      <c r="F13">
        <f t="shared" si="0"/>
        <v>0</v>
      </c>
    </row>
    <row r="14" spans="1:6" x14ac:dyDescent="0.25">
      <c r="A14">
        <v>10</v>
      </c>
      <c r="B14">
        <v>13</v>
      </c>
      <c r="C14">
        <v>0</v>
      </c>
      <c r="D14">
        <v>0</v>
      </c>
      <c r="E14">
        <f>IFERROR(ROUND(D14 * (VLOOKUP(A14, Operational_Plan_Simple!$A$2:$F$14, 6, FALSE)) / ((VLOOKUP(A14, Operational_Plan_Simple!$A$2:$F$14, 6, FALSE)) + (VLOOKUP(B14, Operational_Plan_Simple!$A$2:$F$14, 6, FALSE))), 0), ROUND(D14 * 0.5, 0))</f>
        <v>0</v>
      </c>
      <c r="F14">
        <f t="shared" si="0"/>
        <v>0</v>
      </c>
    </row>
    <row r="15" spans="1:6" x14ac:dyDescent="0.25">
      <c r="A15">
        <v>10</v>
      </c>
      <c r="B15">
        <v>18</v>
      </c>
      <c r="C15">
        <v>0</v>
      </c>
      <c r="D15">
        <v>0</v>
      </c>
      <c r="E15">
        <f>IFERROR(ROUND(D15 * (VLOOKUP(A15, Operational_Plan_Simple!$A$2:$F$14, 6, FALSE)) / ((VLOOKUP(A15, Operational_Plan_Simple!$A$2:$F$14, 6, FALSE)) + (VLOOKUP(B15, Operational_Plan_Simple!$A$2:$F$14, 6, FALSE))), 0), ROUND(D15 * 0.5, 0))</f>
        <v>0</v>
      </c>
      <c r="F15">
        <f t="shared" si="0"/>
        <v>0</v>
      </c>
    </row>
    <row r="16" spans="1:6" x14ac:dyDescent="0.25">
      <c r="A16">
        <v>11</v>
      </c>
      <c r="B16">
        <v>13</v>
      </c>
      <c r="C16">
        <v>0</v>
      </c>
      <c r="D16">
        <v>0</v>
      </c>
      <c r="E16">
        <f>IFERROR(ROUND(D16 * (VLOOKUP(A16, Operational_Plan_Simple!$A$2:$F$14, 6, FALSE)) / ((VLOOKUP(A16, Operational_Plan_Simple!$A$2:$F$14, 6, FALSE)) + (VLOOKUP(B16, Operational_Plan_Simple!$A$2:$F$14, 6, FALSE))), 0), ROUND(D16 * 0.5, 0))</f>
        <v>0</v>
      </c>
      <c r="F16">
        <f t="shared" si="0"/>
        <v>0</v>
      </c>
    </row>
    <row r="17" spans="1:6" x14ac:dyDescent="0.25">
      <c r="A17">
        <v>12</v>
      </c>
      <c r="B17">
        <v>20</v>
      </c>
      <c r="C17">
        <v>0</v>
      </c>
      <c r="D17">
        <v>0</v>
      </c>
      <c r="E17">
        <f>IFERROR(ROUND(D17 * (VLOOKUP(A17, Operational_Plan_Simple!$A$2:$F$14, 6, FALSE)) / ((VLOOKUP(A17, Operational_Plan_Simple!$A$2:$F$14, 6, FALSE)) + (VLOOKUP(B17, Operational_Plan_Simple!$A$2:$F$14, 6, FALSE))), 0), ROUND(D17 * 0.5, 0))</f>
        <v>0</v>
      </c>
      <c r="F17">
        <f t="shared" si="0"/>
        <v>0</v>
      </c>
    </row>
    <row r="18" spans="1:6" x14ac:dyDescent="0.25">
      <c r="A18" s="4" t="s">
        <v>12</v>
      </c>
      <c r="B18" s="4"/>
      <c r="C18" s="4"/>
      <c r="D18" s="4">
        <f>SUM(D2:D17)</f>
        <v>999</v>
      </c>
      <c r="E18" s="4">
        <f>SUM(E2:E17)</f>
        <v>502</v>
      </c>
      <c r="F18" s="4">
        <f>SUM(F2:F17)</f>
        <v>497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tabSelected="1" topLeftCell="A10" workbookViewId="0">
      <selection activeCell="C5" sqref="C5"/>
    </sheetView>
  </sheetViews>
  <sheetFormatPr defaultColWidth="11.42578125" defaultRowHeight="15" x14ac:dyDescent="0.25"/>
  <cols>
    <col min="2" max="2" width="18.42578125" bestFit="1" customWidth="1"/>
    <col min="3" max="3" width="16.285156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>
        <v>1</v>
      </c>
      <c r="B2">
        <v>8.7160000000000001E-2</v>
      </c>
      <c r="C2" s="2">
        <v>8.7160000000000001E-2</v>
      </c>
      <c r="D2">
        <f t="shared" ref="D2:D14" si="0">2*B2 - C2</f>
        <v>8.7160000000000001E-2</v>
      </c>
      <c r="E2" t="str">
        <f t="shared" ref="E2:E14" si="1">IF(OR(D2 &lt; -0.000001, C2 &lt; -0.000001), "IMPOSSIBLE", "OK")</f>
        <v>OK</v>
      </c>
      <c r="F2">
        <f t="shared" ref="F2:F14" si="2">IFERROR(C2 / (2*B2), 0.5)</f>
        <v>0.5</v>
      </c>
    </row>
    <row r="3" spans="1:6" x14ac:dyDescent="0.25">
      <c r="A3">
        <v>2</v>
      </c>
      <c r="B3">
        <v>0.16742000000000001</v>
      </c>
      <c r="C3" s="2">
        <v>0.16742000000000001</v>
      </c>
      <c r="D3">
        <f t="shared" si="0"/>
        <v>0.16742000000000001</v>
      </c>
      <c r="E3" t="str">
        <f t="shared" si="1"/>
        <v>OK</v>
      </c>
      <c r="F3">
        <f t="shared" si="2"/>
        <v>0.5</v>
      </c>
    </row>
    <row r="4" spans="1:6" x14ac:dyDescent="0.25">
      <c r="A4">
        <v>3</v>
      </c>
      <c r="B4">
        <v>0.21184</v>
      </c>
      <c r="C4" s="2">
        <v>0.21184</v>
      </c>
      <c r="D4">
        <f t="shared" si="0"/>
        <v>0.21184</v>
      </c>
      <c r="E4" t="str">
        <f t="shared" si="1"/>
        <v>OK</v>
      </c>
      <c r="F4">
        <f t="shared" si="2"/>
        <v>0.5</v>
      </c>
    </row>
    <row r="5" spans="1:6" x14ac:dyDescent="0.25">
      <c r="A5">
        <v>4</v>
      </c>
      <c r="B5">
        <v>7.1300000000000001E-3</v>
      </c>
      <c r="C5" s="2">
        <v>7.1300000000000001E-3</v>
      </c>
      <c r="D5">
        <f t="shared" si="0"/>
        <v>7.1300000000000001E-3</v>
      </c>
      <c r="E5" t="str">
        <f t="shared" si="1"/>
        <v>OK</v>
      </c>
      <c r="F5">
        <f t="shared" si="2"/>
        <v>0.5</v>
      </c>
    </row>
    <row r="6" spans="1:6" x14ac:dyDescent="0.25">
      <c r="A6">
        <v>9</v>
      </c>
      <c r="B6">
        <v>2.2700000000000001E-2</v>
      </c>
      <c r="C6" s="2">
        <v>2.2700000000000001E-2</v>
      </c>
      <c r="D6">
        <f t="shared" si="0"/>
        <v>2.2700000000000001E-2</v>
      </c>
      <c r="E6" t="str">
        <f t="shared" si="1"/>
        <v>OK</v>
      </c>
      <c r="F6">
        <f t="shared" si="2"/>
        <v>0.5</v>
      </c>
    </row>
    <row r="7" spans="1:6" x14ac:dyDescent="0.25">
      <c r="A7">
        <v>18</v>
      </c>
      <c r="B7">
        <v>4.2000000000000002E-4</v>
      </c>
      <c r="C7" s="2">
        <v>4.2000000000000002E-4</v>
      </c>
      <c r="D7">
        <f t="shared" si="0"/>
        <v>4.2000000000000002E-4</v>
      </c>
      <c r="E7" t="str">
        <f t="shared" si="1"/>
        <v>OK</v>
      </c>
      <c r="F7">
        <f t="shared" si="2"/>
        <v>0.5</v>
      </c>
    </row>
    <row r="8" spans="1:6" x14ac:dyDescent="0.25">
      <c r="A8">
        <v>19</v>
      </c>
      <c r="B8">
        <v>4.2000000000000002E-4</v>
      </c>
      <c r="C8" s="2">
        <v>4.2000000000000002E-4</v>
      </c>
      <c r="D8">
        <f t="shared" si="0"/>
        <v>4.2000000000000002E-4</v>
      </c>
      <c r="E8" t="str">
        <f t="shared" si="1"/>
        <v>OK</v>
      </c>
      <c r="F8">
        <f t="shared" si="2"/>
        <v>0.5</v>
      </c>
    </row>
    <row r="9" spans="1:6" x14ac:dyDescent="0.25">
      <c r="A9">
        <v>20</v>
      </c>
      <c r="B9">
        <v>2.2700000000000001E-2</v>
      </c>
      <c r="C9" s="2">
        <v>2.2700000000000001E-2</v>
      </c>
      <c r="D9">
        <f t="shared" si="0"/>
        <v>2.2700000000000001E-2</v>
      </c>
      <c r="E9" t="str">
        <f t="shared" si="1"/>
        <v>OK</v>
      </c>
      <c r="F9">
        <f t="shared" si="2"/>
        <v>0.5</v>
      </c>
    </row>
    <row r="10" spans="1:6" x14ac:dyDescent="0.25">
      <c r="A10">
        <v>22</v>
      </c>
      <c r="B10">
        <v>1.1299999999999999E-3</v>
      </c>
      <c r="C10" s="2">
        <v>1.1299999999999999E-3</v>
      </c>
      <c r="D10">
        <f t="shared" si="0"/>
        <v>1.1299999999999999E-3</v>
      </c>
      <c r="E10" t="str">
        <f t="shared" si="1"/>
        <v>OK</v>
      </c>
      <c r="F10">
        <f t="shared" si="2"/>
        <v>0.5</v>
      </c>
    </row>
    <row r="11" spans="1:6" x14ac:dyDescent="0.25">
      <c r="A11">
        <v>23</v>
      </c>
      <c r="B11">
        <v>3.3300000000000001E-3</v>
      </c>
      <c r="C11" s="2">
        <v>3.3300000000000001E-3</v>
      </c>
      <c r="D11">
        <f t="shared" si="0"/>
        <v>3.3300000000000001E-3</v>
      </c>
      <c r="E11" t="str">
        <f t="shared" si="1"/>
        <v>OK</v>
      </c>
      <c r="F11">
        <f t="shared" si="2"/>
        <v>0.5</v>
      </c>
    </row>
    <row r="12" spans="1:6" x14ac:dyDescent="0.25">
      <c r="A12">
        <v>24</v>
      </c>
      <c r="B12">
        <v>7.1300000000000001E-3</v>
      </c>
      <c r="C12" s="2">
        <v>7.1300000000000001E-3</v>
      </c>
      <c r="D12">
        <f t="shared" si="0"/>
        <v>7.1300000000000001E-3</v>
      </c>
      <c r="E12" t="str">
        <f t="shared" si="1"/>
        <v>OK</v>
      </c>
      <c r="F12">
        <f t="shared" si="2"/>
        <v>0.5</v>
      </c>
    </row>
    <row r="13" spans="1:6" x14ac:dyDescent="0.25">
      <c r="A13">
        <v>27</v>
      </c>
      <c r="B13">
        <v>0.17075000000000001</v>
      </c>
      <c r="C13" s="2">
        <v>0.17075000000000001</v>
      </c>
      <c r="D13">
        <f t="shared" si="0"/>
        <v>0.17075000000000001</v>
      </c>
      <c r="E13" t="str">
        <f t="shared" si="1"/>
        <v>OK</v>
      </c>
      <c r="F13">
        <f t="shared" si="2"/>
        <v>0.5</v>
      </c>
    </row>
    <row r="14" spans="1:6" x14ac:dyDescent="0.25">
      <c r="A14">
        <v>30</v>
      </c>
      <c r="B14">
        <v>0.29787000000000002</v>
      </c>
      <c r="C14" s="2">
        <v>0.29787000000000002</v>
      </c>
      <c r="D14">
        <f t="shared" si="0"/>
        <v>0.29787000000000002</v>
      </c>
      <c r="E14" t="str">
        <f t="shared" si="1"/>
        <v>OK</v>
      </c>
      <c r="F14">
        <f t="shared" si="2"/>
        <v>0.5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GCA</vt:lpstr>
      <vt:lpstr>SCA</vt:lpstr>
      <vt:lpstr>G_matrix</vt:lpstr>
      <vt:lpstr>Y Limits</vt:lpstr>
      <vt:lpstr>Output_Parents_p</vt:lpstr>
      <vt:lpstr>Output_Families_Y</vt:lpstr>
      <vt:lpstr>Operational_Plan_Simple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Lstibůrek Milan</dc:creator>
  <cp:lastModifiedBy>Sagariya Yobu Christi</cp:lastModifiedBy>
  <dcterms:created xsi:type="dcterms:W3CDTF">2026-01-16T11:59:52Z</dcterms:created>
  <dcterms:modified xsi:type="dcterms:W3CDTF">2026-05-18T14:51:23Z</dcterms:modified>
</cp:coreProperties>
</file>