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zuvpraze-my.sharepoint.com/personal/sagariya_yobu_fld_czu_cz/Documents/Documents/Simulation/Christi_SCA_Code/"/>
    </mc:Choice>
  </mc:AlternateContent>
  <xr:revisionPtr revIDLastSave="400" documentId="8_{3CFD4397-1620-43E2-B162-FA652A9F4FF0}" xr6:coauthVersionLast="47" xr6:coauthVersionMax="47" xr10:uidLastSave="{0E86DC79-1978-4F69-9D4F-F5C7E06E545D}"/>
  <bookViews>
    <workbookView xWindow="-120" yWindow="-120" windowWidth="29040" windowHeight="17520" xr2:uid="{4B3AB8CC-3812-4C69-BE66-5DE8EC22AE2D}"/>
  </bookViews>
  <sheets>
    <sheet name="Instructions" sheetId="4" r:id="rId1"/>
    <sheet name="Optimization" sheetId="1" r:id="rId2"/>
    <sheet name="SCA_flatten" sheetId="2" r:id="rId3"/>
  </sheets>
  <definedNames>
    <definedName name="solver_adj" localSheetId="1" hidden="1">Optimization!$D$4:$D$33,Optimization!$AK$4:$AK$33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Optimization!$AK$34</definedName>
    <definedName name="solver_lhs2" localSheetId="1" hidden="1">Optimization!$AK$4:$AK$33</definedName>
    <definedName name="solver_lhs3" localSheetId="1" hidden="1">Optimization!$AK$4:$AK$33</definedName>
    <definedName name="solver_lhs4" localSheetId="1" hidden="1">Optimization!$AT$110</definedName>
    <definedName name="solver_lhs5" localSheetId="1" hidden="1">Optimization!$D$34</definedName>
    <definedName name="solver_lhs6" localSheetId="1" hidden="1">Optimization!$D$4:$D$33</definedName>
    <definedName name="solver_lhs7" localSheetId="1" hidden="1">Optimization!$D$4:$D$33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7</definedName>
    <definedName name="solver_nwt" localSheetId="1" hidden="1">1</definedName>
    <definedName name="solver_opt" localSheetId="0" hidden="1">Instructions!$A$38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1</definedName>
    <definedName name="solver_rel3" localSheetId="1" hidden="1">3</definedName>
    <definedName name="solver_rel4" localSheetId="1" hidden="1">3</definedName>
    <definedName name="solver_rel5" localSheetId="1" hidden="1">2</definedName>
    <definedName name="solver_rel6" localSheetId="1" hidden="1">1</definedName>
    <definedName name="solver_rel7" localSheetId="1" hidden="1">3</definedName>
    <definedName name="solver_rhs1" localSheetId="1" hidden="1">1</definedName>
    <definedName name="solver_rhs2" localSheetId="1" hidden="1">Optimization!$AP$4:$AP$33</definedName>
    <definedName name="solver_rhs3" localSheetId="1" hidden="1">0</definedName>
    <definedName name="solver_rhs4" localSheetId="1" hidden="1">Optimization!$AL$37</definedName>
    <definedName name="solver_rhs5" localSheetId="1" hidden="1">1</definedName>
    <definedName name="solver_rhs6" localSheetId="1" hidden="1">Optimization!$AO$4:$AO$33</definedName>
    <definedName name="solver_rhs7" localSheetId="1" hidden="1">0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 a="1"/>
  <c r="AT4" i="1" s="1"/>
  <c r="AL38" i="1"/>
  <c r="AQ5" i="1"/>
  <c r="AU75" i="1" s="1"/>
  <c r="AQ6" i="1"/>
  <c r="AV75" i="1" s="1"/>
  <c r="AQ7" i="1"/>
  <c r="AR80" i="1" s="1"/>
  <c r="AQ8" i="1"/>
  <c r="AR81" i="1" s="1"/>
  <c r="AQ9" i="1"/>
  <c r="AR82" i="1" s="1"/>
  <c r="AQ10" i="1"/>
  <c r="AZ75" i="1" s="1"/>
  <c r="AQ11" i="1"/>
  <c r="BA75" i="1" s="1"/>
  <c r="AQ12" i="1"/>
  <c r="BB75" i="1" s="1"/>
  <c r="AQ13" i="1"/>
  <c r="BC75" i="1" s="1"/>
  <c r="AQ14" i="1"/>
  <c r="BD75" i="1" s="1"/>
  <c r="AQ15" i="1"/>
  <c r="AR88" i="1" s="1"/>
  <c r="AQ16" i="1"/>
  <c r="BF75" i="1" s="1"/>
  <c r="AQ17" i="1"/>
  <c r="BG75" i="1" s="1"/>
  <c r="AQ18" i="1"/>
  <c r="BH75" i="1" s="1"/>
  <c r="AQ19" i="1"/>
  <c r="AR92" i="1" s="1"/>
  <c r="AQ20" i="1"/>
  <c r="AR93" i="1" s="1"/>
  <c r="AQ21" i="1"/>
  <c r="BK75" i="1" s="1"/>
  <c r="AQ22" i="1"/>
  <c r="BL75" i="1" s="1"/>
  <c r="AQ23" i="1"/>
  <c r="BM75" i="1" s="1"/>
  <c r="AQ24" i="1"/>
  <c r="BN75" i="1" s="1"/>
  <c r="AQ25" i="1"/>
  <c r="BO75" i="1" s="1"/>
  <c r="AQ26" i="1"/>
  <c r="BP75" i="1" s="1"/>
  <c r="AQ27" i="1"/>
  <c r="BQ75" i="1" s="1"/>
  <c r="AQ28" i="1"/>
  <c r="BR75" i="1" s="1"/>
  <c r="AQ29" i="1"/>
  <c r="BS75" i="1" s="1"/>
  <c r="AQ30" i="1"/>
  <c r="BT75" i="1" s="1"/>
  <c r="AQ31" i="1"/>
  <c r="AR104" i="1" s="1"/>
  <c r="AQ32" i="1"/>
  <c r="AR105" i="1" s="1"/>
  <c r="AQ33" i="1"/>
  <c r="BW75" i="1" s="1"/>
  <c r="AQ4" i="1"/>
  <c r="AR77" i="1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28" i="2" a="1"/>
  <c r="B528" i="2" s="1"/>
  <c r="B529" i="2" a="1"/>
  <c r="B529" i="2" s="1"/>
  <c r="B530" i="2" a="1"/>
  <c r="B530" i="2" s="1"/>
  <c r="B531" i="2" a="1"/>
  <c r="B531" i="2" s="1"/>
  <c r="B532" i="2" a="1"/>
  <c r="B532" i="2" s="1"/>
  <c r="B533" i="2" a="1"/>
  <c r="B533" i="2" s="1"/>
  <c r="B534" i="2" a="1"/>
  <c r="B534" i="2" s="1"/>
  <c r="B535" i="2" a="1"/>
  <c r="B535" i="2" s="1"/>
  <c r="B536" i="2" a="1"/>
  <c r="B536" i="2" s="1"/>
  <c r="B537" i="2" a="1"/>
  <c r="B537" i="2" s="1"/>
  <c r="B538" i="2" a="1"/>
  <c r="B538" i="2" s="1"/>
  <c r="B539" i="2" a="1"/>
  <c r="B539" i="2" s="1"/>
  <c r="B540" i="2" a="1"/>
  <c r="B540" i="2" s="1"/>
  <c r="B541" i="2" a="1"/>
  <c r="B541" i="2" s="1"/>
  <c r="B542" i="2" a="1"/>
  <c r="B542" i="2" s="1"/>
  <c r="B543" i="2" a="1"/>
  <c r="B543" i="2" s="1"/>
  <c r="B544" i="2" a="1"/>
  <c r="B544" i="2" s="1"/>
  <c r="B545" i="2" a="1"/>
  <c r="B545" i="2" s="1"/>
  <c r="B546" i="2" a="1"/>
  <c r="B546" i="2" s="1"/>
  <c r="B547" i="2" a="1"/>
  <c r="B547" i="2" s="1"/>
  <c r="B548" i="2" a="1"/>
  <c r="B548" i="2" s="1"/>
  <c r="B549" i="2" a="1"/>
  <c r="B549" i="2" s="1"/>
  <c r="B550" i="2" a="1"/>
  <c r="B550" i="2" s="1"/>
  <c r="B551" i="2" a="1"/>
  <c r="B551" i="2" s="1"/>
  <c r="B552" i="2" a="1"/>
  <c r="B552" i="2" s="1"/>
  <c r="B553" i="2" a="1"/>
  <c r="B553" i="2" s="1"/>
  <c r="B554" i="2" a="1"/>
  <c r="B554" i="2" s="1"/>
  <c r="B555" i="2" a="1"/>
  <c r="B555" i="2" s="1"/>
  <c r="B556" i="2" a="1"/>
  <c r="B556" i="2" s="1"/>
  <c r="B557" i="2" a="1"/>
  <c r="B557" i="2" s="1"/>
  <c r="B558" i="2" a="1"/>
  <c r="B558" i="2" s="1"/>
  <c r="B559" i="2" a="1"/>
  <c r="B559" i="2" s="1"/>
  <c r="B560" i="2" a="1"/>
  <c r="B560" i="2" s="1"/>
  <c r="B561" i="2" a="1"/>
  <c r="B561" i="2" s="1"/>
  <c r="B562" i="2" a="1"/>
  <c r="B562" i="2" s="1"/>
  <c r="B563" i="2" a="1"/>
  <c r="B563" i="2" s="1"/>
  <c r="B564" i="2" a="1"/>
  <c r="B564" i="2" s="1"/>
  <c r="B565" i="2" a="1"/>
  <c r="B565" i="2" s="1"/>
  <c r="B566" i="2" a="1"/>
  <c r="B566" i="2" s="1"/>
  <c r="B567" i="2" a="1"/>
  <c r="B567" i="2" s="1"/>
  <c r="B568" i="2" a="1"/>
  <c r="B568" i="2" s="1"/>
  <c r="B569" i="2" a="1"/>
  <c r="B569" i="2" s="1"/>
  <c r="B570" i="2" a="1"/>
  <c r="B570" i="2" s="1"/>
  <c r="B571" i="2" a="1"/>
  <c r="B571" i="2" s="1"/>
  <c r="B572" i="2" a="1"/>
  <c r="B572" i="2" s="1"/>
  <c r="B573" i="2" a="1"/>
  <c r="B573" i="2" s="1"/>
  <c r="B574" i="2" a="1"/>
  <c r="B574" i="2" s="1"/>
  <c r="B575" i="2" a="1"/>
  <c r="B575" i="2" s="1"/>
  <c r="B576" i="2" a="1"/>
  <c r="B576" i="2" s="1"/>
  <c r="B577" i="2" a="1"/>
  <c r="B577" i="2" s="1"/>
  <c r="B578" i="2" a="1"/>
  <c r="B578" i="2" s="1"/>
  <c r="B579" i="2" a="1"/>
  <c r="B579" i="2" s="1"/>
  <c r="B580" i="2" a="1"/>
  <c r="B580" i="2" s="1"/>
  <c r="B581" i="2" a="1"/>
  <c r="B581" i="2" s="1"/>
  <c r="B582" i="2" a="1"/>
  <c r="B582" i="2" s="1"/>
  <c r="B583" i="2" a="1"/>
  <c r="B583" i="2" s="1"/>
  <c r="B584" i="2" a="1"/>
  <c r="B584" i="2" s="1"/>
  <c r="B585" i="2" a="1"/>
  <c r="B585" i="2" s="1"/>
  <c r="B586" i="2" a="1"/>
  <c r="B586" i="2" s="1"/>
  <c r="B587" i="2" a="1"/>
  <c r="B587" i="2" s="1"/>
  <c r="B588" i="2" a="1"/>
  <c r="B588" i="2" s="1"/>
  <c r="B589" i="2" a="1"/>
  <c r="B589" i="2" s="1"/>
  <c r="B590" i="2" a="1"/>
  <c r="B590" i="2" s="1"/>
  <c r="B591" i="2" a="1"/>
  <c r="B591" i="2" s="1"/>
  <c r="B592" i="2" a="1"/>
  <c r="B592" i="2" s="1"/>
  <c r="B593" i="2" a="1"/>
  <c r="B593" i="2" s="1"/>
  <c r="B594" i="2" a="1"/>
  <c r="B594" i="2" s="1"/>
  <c r="B595" i="2" a="1"/>
  <c r="B595" i="2" s="1"/>
  <c r="B596" i="2" a="1"/>
  <c r="B596" i="2" s="1"/>
  <c r="B597" i="2" a="1"/>
  <c r="B597" i="2" s="1"/>
  <c r="B598" i="2" a="1"/>
  <c r="B598" i="2" s="1"/>
  <c r="B599" i="2" a="1"/>
  <c r="B599" i="2" s="1"/>
  <c r="B600" i="2" a="1"/>
  <c r="B600" i="2" s="1"/>
  <c r="B601" i="2" a="1"/>
  <c r="B601" i="2" s="1"/>
  <c r="B602" i="2" a="1"/>
  <c r="B602" i="2" s="1"/>
  <c r="B603" i="2" a="1"/>
  <c r="B603" i="2" s="1"/>
  <c r="B604" i="2" a="1"/>
  <c r="B604" i="2" s="1"/>
  <c r="B605" i="2" a="1"/>
  <c r="B605" i="2" s="1"/>
  <c r="B606" i="2" a="1"/>
  <c r="B606" i="2" s="1"/>
  <c r="B607" i="2" a="1"/>
  <c r="B607" i="2" s="1"/>
  <c r="B608" i="2" a="1"/>
  <c r="B608" i="2" s="1"/>
  <c r="B609" i="2" a="1"/>
  <c r="B609" i="2" s="1"/>
  <c r="B610" i="2" a="1"/>
  <c r="B610" i="2" s="1"/>
  <c r="B611" i="2" a="1"/>
  <c r="B611" i="2" s="1"/>
  <c r="B612" i="2" a="1"/>
  <c r="B612" i="2" s="1"/>
  <c r="B613" i="2" a="1"/>
  <c r="B613" i="2" s="1"/>
  <c r="B614" i="2" a="1"/>
  <c r="B614" i="2" s="1"/>
  <c r="B615" i="2" a="1"/>
  <c r="B615" i="2" s="1"/>
  <c r="B616" i="2" a="1"/>
  <c r="B616" i="2" s="1"/>
  <c r="B617" i="2" a="1"/>
  <c r="B617" i="2" s="1"/>
  <c r="B618" i="2" a="1"/>
  <c r="B618" i="2" s="1"/>
  <c r="B619" i="2" a="1"/>
  <c r="B619" i="2" s="1"/>
  <c r="B620" i="2" a="1"/>
  <c r="B620" i="2" s="1"/>
  <c r="B621" i="2" a="1"/>
  <c r="B621" i="2" s="1"/>
  <c r="B622" i="2" a="1"/>
  <c r="B622" i="2" s="1"/>
  <c r="B623" i="2" a="1"/>
  <c r="B623" i="2" s="1"/>
  <c r="B624" i="2" a="1"/>
  <c r="B624" i="2" s="1"/>
  <c r="B625" i="2" a="1"/>
  <c r="B625" i="2" s="1"/>
  <c r="B626" i="2" a="1"/>
  <c r="B626" i="2" s="1"/>
  <c r="B627" i="2" a="1"/>
  <c r="B627" i="2" s="1"/>
  <c r="B628" i="2" a="1"/>
  <c r="B628" i="2" s="1"/>
  <c r="B629" i="2" a="1"/>
  <c r="B629" i="2" s="1"/>
  <c r="B630" i="2" a="1"/>
  <c r="B630" i="2" s="1"/>
  <c r="B631" i="2" a="1"/>
  <c r="B631" i="2" s="1"/>
  <c r="B632" i="2" a="1"/>
  <c r="B632" i="2" s="1"/>
  <c r="B633" i="2" a="1"/>
  <c r="B633" i="2" s="1"/>
  <c r="B634" i="2" a="1"/>
  <c r="B634" i="2" s="1"/>
  <c r="B635" i="2" a="1"/>
  <c r="B635" i="2" s="1"/>
  <c r="B636" i="2" a="1"/>
  <c r="B636" i="2" s="1"/>
  <c r="B637" i="2" a="1"/>
  <c r="B637" i="2" s="1"/>
  <c r="B638" i="2" a="1"/>
  <c r="B638" i="2" s="1"/>
  <c r="B639" i="2" a="1"/>
  <c r="B639" i="2" s="1"/>
  <c r="B640" i="2" a="1"/>
  <c r="B640" i="2" s="1"/>
  <c r="B641" i="2" a="1"/>
  <c r="B641" i="2" s="1"/>
  <c r="B642" i="2" a="1"/>
  <c r="B642" i="2" s="1"/>
  <c r="B643" i="2" a="1"/>
  <c r="B643" i="2" s="1"/>
  <c r="B644" i="2" a="1"/>
  <c r="B644" i="2" s="1"/>
  <c r="B645" i="2" a="1"/>
  <c r="B645" i="2" s="1"/>
  <c r="B646" i="2" a="1"/>
  <c r="B646" i="2" s="1"/>
  <c r="B647" i="2" a="1"/>
  <c r="B647" i="2" s="1"/>
  <c r="B648" i="2" a="1"/>
  <c r="B648" i="2" s="1"/>
  <c r="B649" i="2" a="1"/>
  <c r="B649" i="2" s="1"/>
  <c r="B650" i="2" a="1"/>
  <c r="B650" i="2" s="1"/>
  <c r="B651" i="2" a="1"/>
  <c r="B651" i="2" s="1"/>
  <c r="B652" i="2" a="1"/>
  <c r="B652" i="2" s="1"/>
  <c r="B653" i="2" a="1"/>
  <c r="B653" i="2" s="1"/>
  <c r="B654" i="2" a="1"/>
  <c r="B654" i="2" s="1"/>
  <c r="B655" i="2" a="1"/>
  <c r="B655" i="2" s="1"/>
  <c r="B656" i="2" a="1"/>
  <c r="B656" i="2" s="1"/>
  <c r="B657" i="2" a="1"/>
  <c r="B657" i="2" s="1"/>
  <c r="B658" i="2" a="1"/>
  <c r="B658" i="2" s="1"/>
  <c r="B659" i="2" a="1"/>
  <c r="B659" i="2" s="1"/>
  <c r="B660" i="2" a="1"/>
  <c r="B660" i="2" s="1"/>
  <c r="B661" i="2" a="1"/>
  <c r="B661" i="2" s="1"/>
  <c r="B662" i="2" a="1"/>
  <c r="B662" i="2" s="1"/>
  <c r="B663" i="2" a="1"/>
  <c r="B663" i="2" s="1"/>
  <c r="B664" i="2" a="1"/>
  <c r="B664" i="2" s="1"/>
  <c r="B665" i="2" a="1"/>
  <c r="B665" i="2" s="1"/>
  <c r="B666" i="2" a="1"/>
  <c r="B666" i="2" s="1"/>
  <c r="B667" i="2" a="1"/>
  <c r="B667" i="2" s="1"/>
  <c r="B668" i="2" a="1"/>
  <c r="B668" i="2" s="1"/>
  <c r="B669" i="2" a="1"/>
  <c r="B669" i="2" s="1"/>
  <c r="B670" i="2" a="1"/>
  <c r="B670" i="2" s="1"/>
  <c r="B671" i="2" a="1"/>
  <c r="B671" i="2" s="1"/>
  <c r="B672" i="2" a="1"/>
  <c r="B672" i="2" s="1"/>
  <c r="B673" i="2" a="1"/>
  <c r="B673" i="2" s="1"/>
  <c r="B674" i="2" a="1"/>
  <c r="B674" i="2" s="1"/>
  <c r="B675" i="2" a="1"/>
  <c r="B675" i="2" s="1"/>
  <c r="B676" i="2" a="1"/>
  <c r="B676" i="2" s="1"/>
  <c r="B677" i="2" a="1"/>
  <c r="B677" i="2" s="1"/>
  <c r="B678" i="2" a="1"/>
  <c r="B678" i="2" s="1"/>
  <c r="B679" i="2" a="1"/>
  <c r="B679" i="2" s="1"/>
  <c r="B680" i="2" a="1"/>
  <c r="B680" i="2" s="1"/>
  <c r="B681" i="2" a="1"/>
  <c r="B681" i="2" s="1"/>
  <c r="B682" i="2" a="1"/>
  <c r="B682" i="2" s="1"/>
  <c r="B683" i="2" a="1"/>
  <c r="B683" i="2" s="1"/>
  <c r="B684" i="2" a="1"/>
  <c r="B684" i="2" s="1"/>
  <c r="B685" i="2" a="1"/>
  <c r="B685" i="2" s="1"/>
  <c r="B686" i="2" a="1"/>
  <c r="B686" i="2" s="1"/>
  <c r="B687" i="2" a="1"/>
  <c r="B687" i="2" s="1"/>
  <c r="B688" i="2" a="1"/>
  <c r="B688" i="2" s="1"/>
  <c r="B689" i="2" a="1"/>
  <c r="B689" i="2" s="1"/>
  <c r="B690" i="2" a="1"/>
  <c r="B690" i="2" s="1"/>
  <c r="B691" i="2" a="1"/>
  <c r="B691" i="2" s="1"/>
  <c r="B692" i="2" a="1"/>
  <c r="B692" i="2" s="1"/>
  <c r="B693" i="2" a="1"/>
  <c r="B693" i="2" s="1"/>
  <c r="B694" i="2" a="1"/>
  <c r="B694" i="2" s="1"/>
  <c r="B695" i="2" a="1"/>
  <c r="B695" i="2" s="1"/>
  <c r="B696" i="2" a="1"/>
  <c r="B696" i="2" s="1"/>
  <c r="B697" i="2" a="1"/>
  <c r="B697" i="2" s="1"/>
  <c r="B698" i="2" a="1"/>
  <c r="B698" i="2" s="1"/>
  <c r="B699" i="2" a="1"/>
  <c r="B699" i="2" s="1"/>
  <c r="B700" i="2" a="1"/>
  <c r="B700" i="2" s="1"/>
  <c r="B701" i="2" a="1"/>
  <c r="B701" i="2" s="1"/>
  <c r="B702" i="2" a="1"/>
  <c r="B702" i="2" s="1"/>
  <c r="B703" i="2" a="1"/>
  <c r="B703" i="2" s="1"/>
  <c r="B704" i="2" a="1"/>
  <c r="B704" i="2" s="1"/>
  <c r="B705" i="2" a="1"/>
  <c r="B705" i="2" s="1"/>
  <c r="B706" i="2" a="1"/>
  <c r="B706" i="2" s="1"/>
  <c r="B707" i="2" a="1"/>
  <c r="B707" i="2" s="1"/>
  <c r="B708" i="2" a="1"/>
  <c r="B708" i="2" s="1"/>
  <c r="B709" i="2" a="1"/>
  <c r="B709" i="2" s="1"/>
  <c r="B710" i="2" a="1"/>
  <c r="B710" i="2" s="1"/>
  <c r="B711" i="2" a="1"/>
  <c r="B711" i="2" s="1"/>
  <c r="B712" i="2" a="1"/>
  <c r="B712" i="2" s="1"/>
  <c r="B713" i="2" a="1"/>
  <c r="B713" i="2" s="1"/>
  <c r="B714" i="2" a="1"/>
  <c r="B714" i="2" s="1"/>
  <c r="B715" i="2" a="1"/>
  <c r="B715" i="2" s="1"/>
  <c r="B716" i="2" a="1"/>
  <c r="B716" i="2" s="1"/>
  <c r="B717" i="2" a="1"/>
  <c r="B717" i="2" s="1"/>
  <c r="B718" i="2" a="1"/>
  <c r="B718" i="2" s="1"/>
  <c r="B719" i="2" a="1"/>
  <c r="B719" i="2" s="1"/>
  <c r="B720" i="2" a="1"/>
  <c r="B720" i="2" s="1"/>
  <c r="B721" i="2" a="1"/>
  <c r="B721" i="2" s="1"/>
  <c r="B722" i="2" a="1"/>
  <c r="B722" i="2" s="1"/>
  <c r="B723" i="2" a="1"/>
  <c r="B723" i="2" s="1"/>
  <c r="B724" i="2" a="1"/>
  <c r="B724" i="2" s="1"/>
  <c r="B725" i="2" a="1"/>
  <c r="B725" i="2" s="1"/>
  <c r="B726" i="2" a="1"/>
  <c r="B726" i="2" s="1"/>
  <c r="B727" i="2" a="1"/>
  <c r="B727" i="2" s="1"/>
  <c r="B728" i="2" a="1"/>
  <c r="B728" i="2" s="1"/>
  <c r="B729" i="2" a="1"/>
  <c r="B729" i="2" s="1"/>
  <c r="B730" i="2" a="1"/>
  <c r="B730" i="2" s="1"/>
  <c r="B731" i="2" a="1"/>
  <c r="B731" i="2" s="1"/>
  <c r="B732" i="2" a="1"/>
  <c r="B732" i="2" s="1"/>
  <c r="B733" i="2" a="1"/>
  <c r="B733" i="2" s="1"/>
  <c r="B734" i="2" a="1"/>
  <c r="B734" i="2" s="1"/>
  <c r="B735" i="2" a="1"/>
  <c r="B735" i="2" s="1"/>
  <c r="B736" i="2" a="1"/>
  <c r="B736" i="2" s="1"/>
  <c r="B737" i="2" a="1"/>
  <c r="B737" i="2" s="1"/>
  <c r="B738" i="2" a="1"/>
  <c r="B738" i="2" s="1"/>
  <c r="B739" i="2" a="1"/>
  <c r="B739" i="2" s="1"/>
  <c r="B740" i="2" a="1"/>
  <c r="B740" i="2" s="1"/>
  <c r="B741" i="2" a="1"/>
  <c r="B741" i="2" s="1"/>
  <c r="B742" i="2" a="1"/>
  <c r="B742" i="2" s="1"/>
  <c r="B743" i="2" a="1"/>
  <c r="B743" i="2" s="1"/>
  <c r="B744" i="2" a="1"/>
  <c r="B744" i="2" s="1"/>
  <c r="B745" i="2" a="1"/>
  <c r="B745" i="2" s="1"/>
  <c r="B746" i="2" a="1"/>
  <c r="B746" i="2" s="1"/>
  <c r="B747" i="2" a="1"/>
  <c r="B747" i="2" s="1"/>
  <c r="B748" i="2" a="1"/>
  <c r="B748" i="2" s="1"/>
  <c r="B749" i="2" a="1"/>
  <c r="B749" i="2" s="1"/>
  <c r="B750" i="2" a="1"/>
  <c r="B750" i="2" s="1"/>
  <c r="B751" i="2" a="1"/>
  <c r="B751" i="2" s="1"/>
  <c r="B752" i="2" a="1"/>
  <c r="B752" i="2" s="1"/>
  <c r="B753" i="2" a="1"/>
  <c r="B753" i="2" s="1"/>
  <c r="B754" i="2" a="1"/>
  <c r="B754" i="2" s="1"/>
  <c r="B755" i="2" a="1"/>
  <c r="B755" i="2" s="1"/>
  <c r="B756" i="2" a="1"/>
  <c r="B756" i="2" s="1"/>
  <c r="B757" i="2" a="1"/>
  <c r="B757" i="2" s="1"/>
  <c r="B758" i="2" a="1"/>
  <c r="B758" i="2" s="1"/>
  <c r="B759" i="2" a="1"/>
  <c r="B759" i="2" s="1"/>
  <c r="B760" i="2" a="1"/>
  <c r="B760" i="2" s="1"/>
  <c r="B761" i="2" a="1"/>
  <c r="B761" i="2" s="1"/>
  <c r="B762" i="2" a="1"/>
  <c r="B762" i="2" s="1"/>
  <c r="B763" i="2" a="1"/>
  <c r="B763" i="2" s="1"/>
  <c r="B764" i="2" a="1"/>
  <c r="B764" i="2" s="1"/>
  <c r="B765" i="2" a="1"/>
  <c r="B765" i="2" s="1"/>
  <c r="B766" i="2" a="1"/>
  <c r="B766" i="2" s="1"/>
  <c r="B767" i="2" a="1"/>
  <c r="B767" i="2" s="1"/>
  <c r="B768" i="2" a="1"/>
  <c r="B768" i="2" s="1"/>
  <c r="B769" i="2" a="1"/>
  <c r="B769" i="2" s="1"/>
  <c r="B770" i="2" a="1"/>
  <c r="B770" i="2" s="1"/>
  <c r="B771" i="2" a="1"/>
  <c r="B771" i="2" s="1"/>
  <c r="B772" i="2" a="1"/>
  <c r="B772" i="2" s="1"/>
  <c r="B773" i="2" a="1"/>
  <c r="B773" i="2" s="1"/>
  <c r="B774" i="2" a="1"/>
  <c r="B774" i="2" s="1"/>
  <c r="B775" i="2" a="1"/>
  <c r="B775" i="2" s="1"/>
  <c r="B776" i="2" a="1"/>
  <c r="B776" i="2" s="1"/>
  <c r="B777" i="2" a="1"/>
  <c r="B777" i="2" s="1"/>
  <c r="B778" i="2" a="1"/>
  <c r="B778" i="2" s="1"/>
  <c r="B779" i="2" a="1"/>
  <c r="B779" i="2" s="1"/>
  <c r="B780" i="2" a="1"/>
  <c r="B780" i="2" s="1"/>
  <c r="B781" i="2" a="1"/>
  <c r="B781" i="2" s="1"/>
  <c r="B782" i="2" a="1"/>
  <c r="B782" i="2" s="1"/>
  <c r="B783" i="2" a="1"/>
  <c r="B783" i="2" s="1"/>
  <c r="B784" i="2" a="1"/>
  <c r="B784" i="2" s="1"/>
  <c r="B785" i="2" a="1"/>
  <c r="B785" i="2" s="1"/>
  <c r="B786" i="2" a="1"/>
  <c r="B786" i="2" s="1"/>
  <c r="B787" i="2" a="1"/>
  <c r="B787" i="2" s="1"/>
  <c r="B788" i="2" a="1"/>
  <c r="B788" i="2" s="1"/>
  <c r="B789" i="2" a="1"/>
  <c r="B789" i="2" s="1"/>
  <c r="B790" i="2" a="1"/>
  <c r="B790" i="2" s="1"/>
  <c r="B791" i="2" a="1"/>
  <c r="B791" i="2" s="1"/>
  <c r="B792" i="2" a="1"/>
  <c r="B792" i="2" s="1"/>
  <c r="B793" i="2" a="1"/>
  <c r="B793" i="2" s="1"/>
  <c r="B794" i="2" a="1"/>
  <c r="B794" i="2" s="1"/>
  <c r="B795" i="2" a="1"/>
  <c r="B795" i="2" s="1"/>
  <c r="B796" i="2" a="1"/>
  <c r="B796" i="2" s="1"/>
  <c r="B797" i="2" a="1"/>
  <c r="B797" i="2" s="1"/>
  <c r="B798" i="2" a="1"/>
  <c r="B798" i="2" s="1"/>
  <c r="B799" i="2" a="1"/>
  <c r="B799" i="2" s="1"/>
  <c r="B800" i="2" a="1"/>
  <c r="B800" i="2" s="1"/>
  <c r="B801" i="2" a="1"/>
  <c r="B801" i="2" s="1"/>
  <c r="B802" i="2" a="1"/>
  <c r="B802" i="2" s="1"/>
  <c r="B803" i="2" a="1"/>
  <c r="B803" i="2" s="1"/>
  <c r="B804" i="2" a="1"/>
  <c r="B804" i="2" s="1"/>
  <c r="B805" i="2" a="1"/>
  <c r="B805" i="2" s="1"/>
  <c r="B806" i="2" a="1"/>
  <c r="B806" i="2" s="1"/>
  <c r="B807" i="2" a="1"/>
  <c r="B807" i="2" s="1"/>
  <c r="B808" i="2" a="1"/>
  <c r="B808" i="2" s="1"/>
  <c r="B809" i="2" a="1"/>
  <c r="B809" i="2" s="1"/>
  <c r="B810" i="2" a="1"/>
  <c r="B810" i="2" s="1"/>
  <c r="B811" i="2" a="1"/>
  <c r="B811" i="2" s="1"/>
  <c r="B812" i="2" a="1"/>
  <c r="B812" i="2" s="1"/>
  <c r="B813" i="2" a="1"/>
  <c r="B813" i="2" s="1"/>
  <c r="B814" i="2" a="1"/>
  <c r="B814" i="2" s="1"/>
  <c r="B815" i="2" a="1"/>
  <c r="B815" i="2" s="1"/>
  <c r="B816" i="2" a="1"/>
  <c r="B816" i="2" s="1"/>
  <c r="B817" i="2" a="1"/>
  <c r="B817" i="2" s="1"/>
  <c r="B818" i="2" a="1"/>
  <c r="B818" i="2" s="1"/>
  <c r="B819" i="2" a="1"/>
  <c r="B819" i="2" s="1"/>
  <c r="B820" i="2" a="1"/>
  <c r="B820" i="2" s="1"/>
  <c r="B821" i="2" a="1"/>
  <c r="B821" i="2" s="1"/>
  <c r="B822" i="2" a="1"/>
  <c r="B822" i="2" s="1"/>
  <c r="B823" i="2" a="1"/>
  <c r="B823" i="2" s="1"/>
  <c r="B824" i="2" a="1"/>
  <c r="B824" i="2" s="1"/>
  <c r="B825" i="2" a="1"/>
  <c r="B825" i="2" s="1"/>
  <c r="B826" i="2" a="1"/>
  <c r="B826" i="2" s="1"/>
  <c r="B827" i="2" a="1"/>
  <c r="B827" i="2" s="1"/>
  <c r="B828" i="2" a="1"/>
  <c r="B828" i="2" s="1"/>
  <c r="B829" i="2" a="1"/>
  <c r="B829" i="2" s="1"/>
  <c r="B830" i="2" a="1"/>
  <c r="B830" i="2" s="1"/>
  <c r="B831" i="2" a="1"/>
  <c r="B831" i="2" s="1"/>
  <c r="B832" i="2" a="1"/>
  <c r="B832" i="2" s="1"/>
  <c r="B833" i="2" a="1"/>
  <c r="B833" i="2" s="1"/>
  <c r="B834" i="2" a="1"/>
  <c r="B834" i="2" s="1"/>
  <c r="B835" i="2" a="1"/>
  <c r="B835" i="2" s="1"/>
  <c r="B836" i="2" a="1"/>
  <c r="B836" i="2" s="1"/>
  <c r="B837" i="2" a="1"/>
  <c r="B837" i="2" s="1"/>
  <c r="B838" i="2" a="1"/>
  <c r="B838" i="2" s="1"/>
  <c r="B839" i="2" a="1"/>
  <c r="B839" i="2" s="1"/>
  <c r="B840" i="2" a="1"/>
  <c r="B840" i="2" s="1"/>
  <c r="B841" i="2" a="1"/>
  <c r="B841" i="2" s="1"/>
  <c r="B842" i="2" a="1"/>
  <c r="B842" i="2" s="1"/>
  <c r="B843" i="2" a="1"/>
  <c r="B843" i="2" s="1"/>
  <c r="B844" i="2" a="1"/>
  <c r="B844" i="2" s="1"/>
  <c r="B845" i="2" a="1"/>
  <c r="B845" i="2" s="1"/>
  <c r="B846" i="2" a="1"/>
  <c r="B846" i="2" s="1"/>
  <c r="B847" i="2" a="1"/>
  <c r="B847" i="2" s="1"/>
  <c r="B848" i="2" a="1"/>
  <c r="B848" i="2" s="1"/>
  <c r="B849" i="2" a="1"/>
  <c r="B849" i="2" s="1"/>
  <c r="B850" i="2" a="1"/>
  <c r="B850" i="2" s="1"/>
  <c r="B851" i="2" a="1"/>
  <c r="B851" i="2" s="1"/>
  <c r="B852" i="2" a="1"/>
  <c r="B852" i="2" s="1"/>
  <c r="B853" i="2" a="1"/>
  <c r="B853" i="2" s="1"/>
  <c r="B854" i="2" a="1"/>
  <c r="B854" i="2" s="1"/>
  <c r="B855" i="2" a="1"/>
  <c r="B855" i="2" s="1"/>
  <c r="B856" i="2" a="1"/>
  <c r="B856" i="2" s="1"/>
  <c r="B857" i="2" a="1"/>
  <c r="B857" i="2" s="1"/>
  <c r="B858" i="2" a="1"/>
  <c r="B858" i="2" s="1"/>
  <c r="B859" i="2" a="1"/>
  <c r="B859" i="2" s="1"/>
  <c r="B860" i="2" a="1"/>
  <c r="B860" i="2" s="1"/>
  <c r="B861" i="2" a="1"/>
  <c r="B861" i="2" s="1"/>
  <c r="B862" i="2" a="1"/>
  <c r="B862" i="2" s="1"/>
  <c r="B863" i="2" a="1"/>
  <c r="B863" i="2" s="1"/>
  <c r="B864" i="2" a="1"/>
  <c r="B864" i="2" s="1"/>
  <c r="B865" i="2" a="1"/>
  <c r="B865" i="2" s="1"/>
  <c r="B866" i="2" a="1"/>
  <c r="B866" i="2" s="1"/>
  <c r="B867" i="2" a="1"/>
  <c r="B867" i="2" s="1"/>
  <c r="B868" i="2" a="1"/>
  <c r="B868" i="2" s="1"/>
  <c r="B869" i="2" a="1"/>
  <c r="B869" i="2" s="1"/>
  <c r="B870" i="2" a="1"/>
  <c r="B870" i="2" s="1"/>
  <c r="B871" i="2" a="1"/>
  <c r="B871" i="2" s="1"/>
  <c r="B872" i="2" a="1"/>
  <c r="B872" i="2" s="1"/>
  <c r="B873" i="2" a="1"/>
  <c r="B873" i="2" s="1"/>
  <c r="B874" i="2" a="1"/>
  <c r="B874" i="2" s="1"/>
  <c r="B875" i="2" a="1"/>
  <c r="B875" i="2" s="1"/>
  <c r="B876" i="2" a="1"/>
  <c r="B876" i="2" s="1"/>
  <c r="B877" i="2" a="1"/>
  <c r="B877" i="2" s="1"/>
  <c r="B878" i="2" a="1"/>
  <c r="B878" i="2" s="1"/>
  <c r="B879" i="2" a="1"/>
  <c r="B879" i="2" s="1"/>
  <c r="B880" i="2" a="1"/>
  <c r="B880" i="2" s="1"/>
  <c r="B881" i="2" a="1"/>
  <c r="B881" i="2" s="1"/>
  <c r="B882" i="2" a="1"/>
  <c r="B882" i="2" s="1"/>
  <c r="B883" i="2" a="1"/>
  <c r="B883" i="2" s="1"/>
  <c r="B884" i="2" a="1"/>
  <c r="B884" i="2" s="1"/>
  <c r="B885" i="2" a="1"/>
  <c r="B885" i="2" s="1"/>
  <c r="B886" i="2" a="1"/>
  <c r="B886" i="2" s="1"/>
  <c r="B887" i="2" a="1"/>
  <c r="B887" i="2" s="1"/>
  <c r="B888" i="2" a="1"/>
  <c r="B888" i="2" s="1"/>
  <c r="B889" i="2" a="1"/>
  <c r="B889" i="2" s="1"/>
  <c r="B890" i="2" a="1"/>
  <c r="B890" i="2" s="1"/>
  <c r="B891" i="2" a="1"/>
  <c r="B891" i="2" s="1"/>
  <c r="B892" i="2" a="1"/>
  <c r="B892" i="2" s="1"/>
  <c r="B893" i="2" a="1"/>
  <c r="B893" i="2" s="1"/>
  <c r="B894" i="2" a="1"/>
  <c r="B894" i="2" s="1"/>
  <c r="B895" i="2" a="1"/>
  <c r="B895" i="2" s="1"/>
  <c r="B896" i="2" a="1"/>
  <c r="B896" i="2" s="1"/>
  <c r="B897" i="2" a="1"/>
  <c r="B897" i="2" s="1"/>
  <c r="B898" i="2" a="1"/>
  <c r="B898" i="2" s="1"/>
  <c r="B899" i="2" a="1"/>
  <c r="B899" i="2" s="1"/>
  <c r="B900" i="2" a="1"/>
  <c r="B900" i="2" s="1"/>
  <c r="B901" i="2" a="1"/>
  <c r="B901" i="2" s="1"/>
  <c r="B902" i="2" a="1"/>
  <c r="B902" i="2" s="1"/>
  <c r="B903" i="2" a="1"/>
  <c r="B903" i="2" s="1"/>
  <c r="B904" i="2" a="1"/>
  <c r="B904" i="2" s="1"/>
  <c r="B905" i="2" a="1"/>
  <c r="B905" i="2" s="1"/>
  <c r="B906" i="2" a="1"/>
  <c r="B906" i="2" s="1"/>
  <c r="B907" i="2" a="1"/>
  <c r="B907" i="2" s="1"/>
  <c r="B908" i="2" a="1"/>
  <c r="B908" i="2" s="1"/>
  <c r="B909" i="2" a="1"/>
  <c r="B909" i="2" s="1"/>
  <c r="B910" i="2" a="1"/>
  <c r="B910" i="2" s="1"/>
  <c r="B911" i="2" a="1"/>
  <c r="B911" i="2" s="1"/>
  <c r="B912" i="2" a="1"/>
  <c r="B912" i="2" s="1"/>
  <c r="B913" i="2" a="1"/>
  <c r="B913" i="2" s="1"/>
  <c r="B914" i="2" a="1"/>
  <c r="B914" i="2" s="1"/>
  <c r="B915" i="2" a="1"/>
  <c r="B915" i="2" s="1"/>
  <c r="B916" i="2" a="1"/>
  <c r="B916" i="2" s="1"/>
  <c r="B917" i="2" a="1"/>
  <c r="B917" i="2" s="1"/>
  <c r="B918" i="2" a="1"/>
  <c r="B918" i="2" s="1"/>
  <c r="B919" i="2" a="1"/>
  <c r="B919" i="2" s="1"/>
  <c r="B920" i="2" a="1"/>
  <c r="B920" i="2" s="1"/>
  <c r="B921" i="2" a="1"/>
  <c r="B921" i="2" s="1"/>
  <c r="B922" i="2" a="1"/>
  <c r="B922" i="2" s="1"/>
  <c r="B923" i="2" a="1"/>
  <c r="B923" i="2" s="1"/>
  <c r="B924" i="2" a="1"/>
  <c r="B924" i="2" s="1"/>
  <c r="B925" i="2" a="1"/>
  <c r="B925" i="2" s="1"/>
  <c r="B926" i="2" a="1"/>
  <c r="B926" i="2" s="1"/>
  <c r="B927" i="2" a="1"/>
  <c r="B927" i="2" s="1"/>
  <c r="B928" i="2" a="1"/>
  <c r="B928" i="2" s="1"/>
  <c r="B929" i="2" a="1"/>
  <c r="B929" i="2" s="1"/>
  <c r="B930" i="2" a="1"/>
  <c r="B930" i="2" s="1"/>
  <c r="B931" i="2" a="1"/>
  <c r="B931" i="2" s="1"/>
  <c r="B932" i="2" a="1"/>
  <c r="B932" i="2" s="1"/>
  <c r="B933" i="2" a="1"/>
  <c r="B933" i="2" s="1"/>
  <c r="B934" i="2" a="1"/>
  <c r="B934" i="2" s="1"/>
  <c r="B935" i="2" a="1"/>
  <c r="B935" i="2" s="1"/>
  <c r="B936" i="2" a="1"/>
  <c r="B936" i="2" s="1"/>
  <c r="B937" i="2" a="1"/>
  <c r="B937" i="2" s="1"/>
  <c r="B938" i="2" a="1"/>
  <c r="B938" i="2" s="1"/>
  <c r="B939" i="2" a="1"/>
  <c r="B939" i="2" s="1"/>
  <c r="B940" i="2" a="1"/>
  <c r="B940" i="2" s="1"/>
  <c r="B941" i="2" a="1"/>
  <c r="B941" i="2" s="1"/>
  <c r="B942" i="2" a="1"/>
  <c r="B942" i="2" s="1"/>
  <c r="B943" i="2" a="1"/>
  <c r="B943" i="2" s="1"/>
  <c r="B944" i="2" a="1"/>
  <c r="B944" i="2" s="1"/>
  <c r="B945" i="2" a="1"/>
  <c r="B945" i="2" s="1"/>
  <c r="B946" i="2" a="1"/>
  <c r="B946" i="2" s="1"/>
  <c r="B947" i="2" a="1"/>
  <c r="B947" i="2" s="1"/>
  <c r="B948" i="2" a="1"/>
  <c r="B948" i="2" s="1"/>
  <c r="B949" i="2" a="1"/>
  <c r="B949" i="2" s="1"/>
  <c r="B950" i="2" a="1"/>
  <c r="B950" i="2" s="1"/>
  <c r="B951" i="2" a="1"/>
  <c r="B951" i="2" s="1"/>
  <c r="B952" i="2" a="1"/>
  <c r="B952" i="2" s="1"/>
  <c r="B953" i="2" a="1"/>
  <c r="B953" i="2" s="1"/>
  <c r="B954" i="2" a="1"/>
  <c r="B954" i="2" s="1"/>
  <c r="B955" i="2" a="1"/>
  <c r="B955" i="2" s="1"/>
  <c r="B956" i="2" a="1"/>
  <c r="B956" i="2" s="1"/>
  <c r="B957" i="2" a="1"/>
  <c r="B957" i="2" s="1"/>
  <c r="B958" i="2" a="1"/>
  <c r="B958" i="2" s="1"/>
  <c r="B959" i="2" a="1"/>
  <c r="B959" i="2" s="1"/>
  <c r="B960" i="2" a="1"/>
  <c r="B960" i="2" s="1"/>
  <c r="B961" i="2" a="1"/>
  <c r="B961" i="2" s="1"/>
  <c r="B962" i="2" a="1"/>
  <c r="B962" i="2" s="1"/>
  <c r="B963" i="2" a="1"/>
  <c r="B963" i="2" s="1"/>
  <c r="B964" i="2" a="1"/>
  <c r="B964" i="2" s="1"/>
  <c r="B965" i="2" a="1"/>
  <c r="B965" i="2" s="1"/>
  <c r="B966" i="2" a="1"/>
  <c r="B966" i="2" s="1"/>
  <c r="B967" i="2" a="1"/>
  <c r="B967" i="2" s="1"/>
  <c r="B968" i="2" a="1"/>
  <c r="B968" i="2" s="1"/>
  <c r="B969" i="2" a="1"/>
  <c r="B969" i="2" s="1"/>
  <c r="B970" i="2" a="1"/>
  <c r="B970" i="2" s="1"/>
  <c r="B971" i="2" a="1"/>
  <c r="B971" i="2" s="1"/>
  <c r="B972" i="2" a="1"/>
  <c r="B972" i="2" s="1"/>
  <c r="B973" i="2" a="1"/>
  <c r="B973" i="2" s="1"/>
  <c r="B974" i="2" a="1"/>
  <c r="B974" i="2" s="1"/>
  <c r="B975" i="2" a="1"/>
  <c r="B975" i="2" s="1"/>
  <c r="B976" i="2" a="1"/>
  <c r="B976" i="2" s="1"/>
  <c r="B977" i="2" a="1"/>
  <c r="B977" i="2" s="1"/>
  <c r="B978" i="2" a="1"/>
  <c r="B978" i="2" s="1"/>
  <c r="B979" i="2" a="1"/>
  <c r="B979" i="2" s="1"/>
  <c r="B980" i="2" a="1"/>
  <c r="B980" i="2" s="1"/>
  <c r="B981" i="2" a="1"/>
  <c r="B981" i="2" s="1"/>
  <c r="B982" i="2" a="1"/>
  <c r="B982" i="2" s="1"/>
  <c r="B983" i="2" a="1"/>
  <c r="B983" i="2" s="1"/>
  <c r="B984" i="2" a="1"/>
  <c r="B984" i="2" s="1"/>
  <c r="B985" i="2" a="1"/>
  <c r="B985" i="2" s="1"/>
  <c r="B986" i="2" a="1"/>
  <c r="B986" i="2" s="1"/>
  <c r="B987" i="2" a="1"/>
  <c r="B987" i="2" s="1"/>
  <c r="B988" i="2" a="1"/>
  <c r="B988" i="2" s="1"/>
  <c r="B989" i="2" a="1"/>
  <c r="B989" i="2" s="1"/>
  <c r="B990" i="2" a="1"/>
  <c r="B990" i="2" s="1"/>
  <c r="B991" i="2" a="1"/>
  <c r="B991" i="2" s="1"/>
  <c r="B992" i="2" a="1"/>
  <c r="B992" i="2" s="1"/>
  <c r="B993" i="2" a="1"/>
  <c r="B993" i="2" s="1"/>
  <c r="B994" i="2" a="1"/>
  <c r="B994" i="2" s="1"/>
  <c r="B995" i="2" a="1"/>
  <c r="B995" i="2" s="1"/>
  <c r="B996" i="2" a="1"/>
  <c r="B996" i="2" s="1"/>
  <c r="B997" i="2" a="1"/>
  <c r="B997" i="2" s="1"/>
  <c r="B998" i="2" a="1"/>
  <c r="B998" i="2" s="1"/>
  <c r="B999" i="2" a="1"/>
  <c r="B999" i="2" s="1"/>
  <c r="B1000" i="2" a="1"/>
  <c r="B1000" i="2" s="1"/>
  <c r="B1001" i="2" a="1"/>
  <c r="B1001" i="2" s="1"/>
  <c r="B1002" i="2" a="1"/>
  <c r="B1002" i="2" s="1"/>
  <c r="B1003" i="2" a="1"/>
  <c r="B1003" i="2" s="1"/>
  <c r="B1004" i="2" a="1"/>
  <c r="B1004" i="2" s="1"/>
  <c r="B1005" i="2" a="1"/>
  <c r="B1005" i="2" s="1"/>
  <c r="B1006" i="2" a="1"/>
  <c r="B1006" i="2" s="1"/>
  <c r="B1007" i="2" a="1"/>
  <c r="B1007" i="2" s="1"/>
  <c r="B1008" i="2" a="1"/>
  <c r="B1008" i="2" s="1"/>
  <c r="B1009" i="2" a="1"/>
  <c r="B1009" i="2" s="1"/>
  <c r="B1010" i="2" a="1"/>
  <c r="B1010" i="2" s="1"/>
  <c r="B1011" i="2" a="1"/>
  <c r="B1011" i="2" s="1"/>
  <c r="B1012" i="2" a="1"/>
  <c r="B1012" i="2" s="1"/>
  <c r="B1013" i="2" a="1"/>
  <c r="B1013" i="2" s="1"/>
  <c r="B1014" i="2" a="1"/>
  <c r="B1014" i="2" s="1"/>
  <c r="B1015" i="2" a="1"/>
  <c r="B1015" i="2" s="1"/>
  <c r="B1016" i="2" a="1"/>
  <c r="B1016" i="2" s="1"/>
  <c r="B1017" i="2" a="1"/>
  <c r="B1017" i="2" s="1"/>
  <c r="B1018" i="2" a="1"/>
  <c r="B1018" i="2" s="1"/>
  <c r="B1019" i="2" a="1"/>
  <c r="B1019" i="2" s="1"/>
  <c r="B1020" i="2" a="1"/>
  <c r="B1020" i="2" s="1"/>
  <c r="B1021" i="2" a="1"/>
  <c r="B1021" i="2" s="1"/>
  <c r="B1022" i="2" a="1"/>
  <c r="B1022" i="2" s="1"/>
  <c r="B1023" i="2" a="1"/>
  <c r="B1023" i="2" s="1"/>
  <c r="B1024" i="2" a="1"/>
  <c r="B1024" i="2" s="1"/>
  <c r="B2" i="2" a="1"/>
  <c r="B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" i="2" a="1"/>
  <c r="B1" i="2" s="1"/>
  <c r="F43" i="1" a="1"/>
  <c r="F43" i="1" s="1"/>
  <c r="G43" i="1" a="1"/>
  <c r="G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N43" i="1" a="1"/>
  <c r="N43" i="1" s="1"/>
  <c r="O43" i="1" a="1"/>
  <c r="O43" i="1" s="1"/>
  <c r="P43" i="1" a="1"/>
  <c r="P43" i="1" s="1"/>
  <c r="Q43" i="1" a="1"/>
  <c r="Q43" i="1" s="1"/>
  <c r="R43" i="1" a="1"/>
  <c r="R43" i="1" s="1"/>
  <c r="S43" i="1" a="1"/>
  <c r="S43" i="1" s="1"/>
  <c r="T43" i="1" a="1"/>
  <c r="T43" i="1" s="1"/>
  <c r="U43" i="1" a="1"/>
  <c r="U43" i="1" s="1"/>
  <c r="V43" i="1" a="1"/>
  <c r="V43" i="1" s="1"/>
  <c r="W43" i="1" a="1"/>
  <c r="W43" i="1" s="1"/>
  <c r="X43" i="1" a="1"/>
  <c r="X43" i="1" s="1"/>
  <c r="Y43" i="1" a="1"/>
  <c r="Y43" i="1" s="1"/>
  <c r="Z43" i="1" a="1"/>
  <c r="Z43" i="1" s="1"/>
  <c r="AA43" i="1" a="1"/>
  <c r="AA43" i="1" s="1"/>
  <c r="AB43" i="1" a="1"/>
  <c r="AB43" i="1" s="1"/>
  <c r="AC43" i="1" a="1"/>
  <c r="AC43" i="1" s="1"/>
  <c r="AD43" i="1" a="1"/>
  <c r="AD43" i="1" s="1"/>
  <c r="AE43" i="1" a="1"/>
  <c r="AE43" i="1" s="1"/>
  <c r="AF43" i="1" a="1"/>
  <c r="AF43" i="1" s="1"/>
  <c r="AG43" i="1" a="1"/>
  <c r="AG43" i="1" s="1"/>
  <c r="AH43" i="1" a="1"/>
  <c r="AH43" i="1" s="1"/>
  <c r="AI43" i="1" a="1"/>
  <c r="AI43" i="1" s="1"/>
  <c r="F44" i="1" a="1"/>
  <c r="F44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T44" i="1" a="1"/>
  <c r="T44" i="1" s="1"/>
  <c r="U44" i="1" a="1"/>
  <c r="U44" i="1" s="1"/>
  <c r="V44" i="1" a="1"/>
  <c r="V44" i="1" s="1"/>
  <c r="W44" i="1" a="1"/>
  <c r="W44" i="1" s="1"/>
  <c r="X44" i="1" a="1"/>
  <c r="X44" i="1" s="1"/>
  <c r="Y44" i="1" a="1"/>
  <c r="Y44" i="1" s="1"/>
  <c r="Z44" i="1" a="1"/>
  <c r="Z44" i="1" s="1"/>
  <c r="AA44" i="1" a="1"/>
  <c r="AA44" i="1" s="1"/>
  <c r="AB44" i="1" a="1"/>
  <c r="AB44" i="1" s="1"/>
  <c r="AC44" i="1" a="1"/>
  <c r="AC44" i="1" s="1"/>
  <c r="AD44" i="1" a="1"/>
  <c r="AD44" i="1" s="1"/>
  <c r="AE44" i="1" a="1"/>
  <c r="AE44" i="1" s="1"/>
  <c r="AF44" i="1" a="1"/>
  <c r="AF44" i="1" s="1"/>
  <c r="AG44" i="1" a="1"/>
  <c r="AG44" i="1" s="1"/>
  <c r="AH44" i="1" a="1"/>
  <c r="AH44" i="1" s="1"/>
  <c r="AI44" i="1" a="1"/>
  <c r="AI44" i="1" s="1"/>
  <c r="F45" i="1" a="1"/>
  <c r="F45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M45" i="1" a="1"/>
  <c r="M45" i="1" s="1"/>
  <c r="N45" i="1" a="1"/>
  <c r="N45" i="1" s="1"/>
  <c r="O45" i="1" a="1"/>
  <c r="O45" i="1" s="1"/>
  <c r="P45" i="1" a="1"/>
  <c r="P45" i="1" s="1"/>
  <c r="Q45" i="1" a="1"/>
  <c r="Q45" i="1" s="1"/>
  <c r="R45" i="1" a="1"/>
  <c r="R45" i="1" s="1"/>
  <c r="S45" i="1" a="1"/>
  <c r="S45" i="1" s="1"/>
  <c r="T45" i="1" a="1"/>
  <c r="T45" i="1" s="1"/>
  <c r="U45" i="1" a="1"/>
  <c r="U45" i="1" s="1"/>
  <c r="V45" i="1" a="1"/>
  <c r="V45" i="1" s="1"/>
  <c r="W45" i="1" a="1"/>
  <c r="W45" i="1" s="1"/>
  <c r="X45" i="1" a="1"/>
  <c r="X45" i="1" s="1"/>
  <c r="Y45" i="1" a="1"/>
  <c r="Y45" i="1" s="1"/>
  <c r="Z45" i="1" a="1"/>
  <c r="Z45" i="1" s="1"/>
  <c r="AA45" i="1" a="1"/>
  <c r="AA45" i="1" s="1"/>
  <c r="AB45" i="1" a="1"/>
  <c r="AB45" i="1" s="1"/>
  <c r="AC45" i="1" a="1"/>
  <c r="AC45" i="1" s="1"/>
  <c r="AD45" i="1" a="1"/>
  <c r="AD45" i="1" s="1"/>
  <c r="AE45" i="1" a="1"/>
  <c r="AE45" i="1" s="1"/>
  <c r="AF45" i="1" a="1"/>
  <c r="AF45" i="1" s="1"/>
  <c r="AG45" i="1" a="1"/>
  <c r="AG45" i="1" s="1"/>
  <c r="AH45" i="1" a="1"/>
  <c r="AH45" i="1" s="1"/>
  <c r="AI45" i="1" a="1"/>
  <c r="AI45" i="1" s="1"/>
  <c r="F46" i="1" a="1"/>
  <c r="F46" i="1" s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M46" i="1" a="1"/>
  <c r="M46" i="1" s="1"/>
  <c r="N46" i="1" a="1"/>
  <c r="N46" i="1" s="1"/>
  <c r="O46" i="1" a="1"/>
  <c r="O46" i="1" s="1"/>
  <c r="P46" i="1" a="1"/>
  <c r="P46" i="1" s="1"/>
  <c r="Q46" i="1" a="1"/>
  <c r="Q46" i="1" s="1"/>
  <c r="R46" i="1" a="1"/>
  <c r="R46" i="1" s="1"/>
  <c r="S46" i="1" a="1"/>
  <c r="S46" i="1" s="1"/>
  <c r="T46" i="1" a="1"/>
  <c r="T46" i="1" s="1"/>
  <c r="U46" i="1" a="1"/>
  <c r="U46" i="1" s="1"/>
  <c r="V46" i="1" a="1"/>
  <c r="V46" i="1" s="1"/>
  <c r="W46" i="1" a="1"/>
  <c r="W46" i="1" s="1"/>
  <c r="X46" i="1" a="1"/>
  <c r="X46" i="1" s="1"/>
  <c r="Y46" i="1" a="1"/>
  <c r="Y46" i="1" s="1"/>
  <c r="Z46" i="1" a="1"/>
  <c r="Z46" i="1" s="1"/>
  <c r="AA46" i="1" a="1"/>
  <c r="AA46" i="1" s="1"/>
  <c r="AB46" i="1" a="1"/>
  <c r="AB46" i="1" s="1"/>
  <c r="AC46" i="1" a="1"/>
  <c r="AC46" i="1" s="1"/>
  <c r="AD46" i="1" a="1"/>
  <c r="AD46" i="1" s="1"/>
  <c r="AE46" i="1" a="1"/>
  <c r="AE46" i="1" s="1"/>
  <c r="AF46" i="1" a="1"/>
  <c r="AF46" i="1" s="1"/>
  <c r="AG46" i="1" a="1"/>
  <c r="AG46" i="1" s="1"/>
  <c r="AH46" i="1" a="1"/>
  <c r="AH46" i="1" s="1"/>
  <c r="AI46" i="1" a="1"/>
  <c r="AI46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T47" i="1" a="1"/>
  <c r="T47" i="1" s="1"/>
  <c r="U47" i="1" a="1"/>
  <c r="U47" i="1" s="1"/>
  <c r="V47" i="1" a="1"/>
  <c r="V47" i="1" s="1"/>
  <c r="W47" i="1" a="1"/>
  <c r="W47" i="1" s="1"/>
  <c r="X47" i="1" a="1"/>
  <c r="X47" i="1" s="1"/>
  <c r="Y47" i="1" a="1"/>
  <c r="Y47" i="1" s="1"/>
  <c r="Z47" i="1" a="1"/>
  <c r="Z47" i="1" s="1"/>
  <c r="AA47" i="1" a="1"/>
  <c r="AA47" i="1" s="1"/>
  <c r="AB47" i="1" a="1"/>
  <c r="AB47" i="1" s="1"/>
  <c r="AC47" i="1" a="1"/>
  <c r="AC47" i="1" s="1"/>
  <c r="AD47" i="1" a="1"/>
  <c r="AD47" i="1" s="1"/>
  <c r="AE47" i="1" a="1"/>
  <c r="AE47" i="1" s="1"/>
  <c r="AF47" i="1" a="1"/>
  <c r="AF47" i="1" s="1"/>
  <c r="AG47" i="1" a="1"/>
  <c r="AG47" i="1" s="1"/>
  <c r="AH47" i="1" a="1"/>
  <c r="AH47" i="1" s="1"/>
  <c r="AI47" i="1" a="1"/>
  <c r="AI47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Y48" i="1" a="1"/>
  <c r="Y48" i="1" s="1"/>
  <c r="Z48" i="1" a="1"/>
  <c r="Z48" i="1" s="1"/>
  <c r="AA48" i="1" a="1"/>
  <c r="AA48" i="1" s="1"/>
  <c r="AB48" i="1" a="1"/>
  <c r="AB48" i="1" s="1"/>
  <c r="AC48" i="1" a="1"/>
  <c r="AC48" i="1" s="1"/>
  <c r="AD48" i="1" a="1"/>
  <c r="AD48" i="1" s="1"/>
  <c r="AE48" i="1" a="1"/>
  <c r="AE48" i="1" s="1"/>
  <c r="AF48" i="1" a="1"/>
  <c r="AF48" i="1" s="1"/>
  <c r="AG48" i="1" a="1"/>
  <c r="AG48" i="1" s="1"/>
  <c r="AH48" i="1" a="1"/>
  <c r="AH48" i="1" s="1"/>
  <c r="AI48" i="1" a="1"/>
  <c r="AI48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T49" i="1" a="1"/>
  <c r="T49" i="1" s="1"/>
  <c r="U49" i="1" a="1"/>
  <c r="U49" i="1" s="1"/>
  <c r="V49" i="1" a="1"/>
  <c r="V49" i="1" s="1"/>
  <c r="W49" i="1" a="1"/>
  <c r="W49" i="1" s="1"/>
  <c r="X49" i="1" a="1"/>
  <c r="X49" i="1" s="1"/>
  <c r="Y49" i="1" a="1"/>
  <c r="Y49" i="1" s="1"/>
  <c r="Z49" i="1" a="1"/>
  <c r="Z49" i="1" s="1"/>
  <c r="AA49" i="1" a="1"/>
  <c r="AA49" i="1" s="1"/>
  <c r="AB49" i="1" a="1"/>
  <c r="AB49" i="1" s="1"/>
  <c r="AC49" i="1" a="1"/>
  <c r="AC49" i="1" s="1"/>
  <c r="AD49" i="1" a="1"/>
  <c r="AD49" i="1" s="1"/>
  <c r="AE49" i="1" a="1"/>
  <c r="AE49" i="1" s="1"/>
  <c r="AF49" i="1" a="1"/>
  <c r="AF49" i="1" s="1"/>
  <c r="AG49" i="1" a="1"/>
  <c r="AG49" i="1" s="1"/>
  <c r="AH49" i="1" a="1"/>
  <c r="AH49" i="1" s="1"/>
  <c r="AI49" i="1" a="1"/>
  <c r="AI49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T50" i="1" a="1"/>
  <c r="T50" i="1" s="1"/>
  <c r="U50" i="1" a="1"/>
  <c r="U50" i="1" s="1"/>
  <c r="V50" i="1" a="1"/>
  <c r="V50" i="1" s="1"/>
  <c r="W50" i="1" a="1"/>
  <c r="W50" i="1" s="1"/>
  <c r="X50" i="1" a="1"/>
  <c r="X50" i="1" s="1"/>
  <c r="Y50" i="1" a="1"/>
  <c r="Y50" i="1" s="1"/>
  <c r="Z50" i="1" a="1"/>
  <c r="Z50" i="1" s="1"/>
  <c r="AA50" i="1" a="1"/>
  <c r="AA50" i="1" s="1"/>
  <c r="AB50" i="1" a="1"/>
  <c r="AB50" i="1" s="1"/>
  <c r="AC50" i="1" a="1"/>
  <c r="AC50" i="1" s="1"/>
  <c r="AD50" i="1" a="1"/>
  <c r="AD50" i="1" s="1"/>
  <c r="AE50" i="1" a="1"/>
  <c r="AE50" i="1" s="1"/>
  <c r="AF50" i="1" a="1"/>
  <c r="AF50" i="1" s="1"/>
  <c r="AG50" i="1" a="1"/>
  <c r="AG50" i="1" s="1"/>
  <c r="AH50" i="1" a="1"/>
  <c r="AH50" i="1" s="1"/>
  <c r="AI50" i="1" a="1"/>
  <c r="AI50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 s="1"/>
  <c r="T51" i="1" a="1"/>
  <c r="T51" i="1" s="1"/>
  <c r="U51" i="1" a="1"/>
  <c r="U51" i="1" s="1"/>
  <c r="V51" i="1" a="1"/>
  <c r="V51" i="1" s="1"/>
  <c r="W51" i="1" a="1"/>
  <c r="W51" i="1" s="1"/>
  <c r="X51" i="1" a="1"/>
  <c r="X51" i="1" s="1"/>
  <c r="Y51" i="1" a="1"/>
  <c r="Y51" i="1" s="1"/>
  <c r="Z51" i="1" a="1"/>
  <c r="Z51" i="1" s="1"/>
  <c r="AA51" i="1" a="1"/>
  <c r="AA51" i="1" s="1"/>
  <c r="AB51" i="1" a="1"/>
  <c r="AB51" i="1" s="1"/>
  <c r="AC51" i="1" a="1"/>
  <c r="AC51" i="1" s="1"/>
  <c r="AD51" i="1" a="1"/>
  <c r="AD51" i="1" s="1"/>
  <c r="AE51" i="1" a="1"/>
  <c r="AE51" i="1" s="1"/>
  <c r="AF51" i="1" a="1"/>
  <c r="AF51" i="1" s="1"/>
  <c r="AG51" i="1" a="1"/>
  <c r="AG51" i="1" s="1"/>
  <c r="AH51" i="1" a="1"/>
  <c r="AH51" i="1" s="1"/>
  <c r="AI51" i="1" a="1"/>
  <c r="AI51" i="1" s="1"/>
  <c r="F52" i="1" a="1"/>
  <c r="F52" i="1" s="1"/>
  <c r="G52" i="1" a="1"/>
  <c r="G52" i="1" s="1"/>
  <c r="H52" i="1" a="1"/>
  <c r="H52" i="1" s="1"/>
  <c r="I52" i="1" a="1"/>
  <c r="I52" i="1" s="1"/>
  <c r="J52" i="1" a="1"/>
  <c r="J52" i="1" s="1"/>
  <c r="K52" i="1" a="1"/>
  <c r="K52" i="1" s="1"/>
  <c r="L52" i="1" a="1"/>
  <c r="L52" i="1" s="1"/>
  <c r="M52" i="1" a="1"/>
  <c r="M52" i="1" s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T52" i="1" a="1"/>
  <c r="T52" i="1" s="1"/>
  <c r="U52" i="1" a="1"/>
  <c r="U52" i="1" s="1"/>
  <c r="V52" i="1" a="1"/>
  <c r="V52" i="1" s="1"/>
  <c r="W52" i="1" a="1"/>
  <c r="W52" i="1" s="1"/>
  <c r="X52" i="1" a="1"/>
  <c r="X52" i="1" s="1"/>
  <c r="Y52" i="1" a="1"/>
  <c r="Y52" i="1" s="1"/>
  <c r="Z52" i="1" a="1"/>
  <c r="Z52" i="1" s="1"/>
  <c r="AA52" i="1" a="1"/>
  <c r="AA52" i="1" s="1"/>
  <c r="AB52" i="1" a="1"/>
  <c r="AB52" i="1" s="1"/>
  <c r="AC52" i="1" a="1"/>
  <c r="AC52" i="1" s="1"/>
  <c r="AD52" i="1" a="1"/>
  <c r="AD52" i="1" s="1"/>
  <c r="AE52" i="1" a="1"/>
  <c r="AE52" i="1" s="1"/>
  <c r="AF52" i="1" a="1"/>
  <c r="AF52" i="1" s="1"/>
  <c r="AG52" i="1" a="1"/>
  <c r="AG52" i="1" s="1"/>
  <c r="AH52" i="1" a="1"/>
  <c r="AH52" i="1" s="1"/>
  <c r="AI52" i="1" a="1"/>
  <c r="AI52" i="1" s="1"/>
  <c r="F53" i="1" a="1"/>
  <c r="F53" i="1" s="1"/>
  <c r="G53" i="1" a="1"/>
  <c r="G53" i="1" s="1"/>
  <c r="H53" i="1" a="1"/>
  <c r="H53" i="1" s="1"/>
  <c r="I53" i="1" a="1"/>
  <c r="I53" i="1" s="1"/>
  <c r="J53" i="1" a="1"/>
  <c r="J53" i="1" s="1"/>
  <c r="K53" i="1" a="1"/>
  <c r="K53" i="1" s="1"/>
  <c r="L53" i="1" a="1"/>
  <c r="L53" i="1" s="1"/>
  <c r="M53" i="1" a="1"/>
  <c r="M53" i="1" s="1"/>
  <c r="N53" i="1" a="1"/>
  <c r="N53" i="1" s="1"/>
  <c r="O53" i="1" a="1"/>
  <c r="O53" i="1" s="1"/>
  <c r="P53" i="1" a="1"/>
  <c r="P53" i="1" s="1"/>
  <c r="Q53" i="1" a="1"/>
  <c r="Q53" i="1" s="1"/>
  <c r="R53" i="1" a="1"/>
  <c r="R53" i="1" s="1"/>
  <c r="S53" i="1" a="1"/>
  <c r="S53" i="1" s="1"/>
  <c r="T53" i="1" a="1"/>
  <c r="T53" i="1" s="1"/>
  <c r="U53" i="1" a="1"/>
  <c r="U53" i="1" s="1"/>
  <c r="V53" i="1" a="1"/>
  <c r="V53" i="1" s="1"/>
  <c r="W53" i="1" a="1"/>
  <c r="W53" i="1" s="1"/>
  <c r="X53" i="1" a="1"/>
  <c r="X53" i="1" s="1"/>
  <c r="Y53" i="1" a="1"/>
  <c r="Y53" i="1" s="1"/>
  <c r="Z53" i="1" a="1"/>
  <c r="Z53" i="1" s="1"/>
  <c r="AA53" i="1" a="1"/>
  <c r="AA53" i="1" s="1"/>
  <c r="AB53" i="1" a="1"/>
  <c r="AB53" i="1" s="1"/>
  <c r="AC53" i="1" a="1"/>
  <c r="AC53" i="1" s="1"/>
  <c r="AD53" i="1" a="1"/>
  <c r="AD53" i="1" s="1"/>
  <c r="AE53" i="1" a="1"/>
  <c r="AE53" i="1" s="1"/>
  <c r="AF53" i="1" a="1"/>
  <c r="AF53" i="1" s="1"/>
  <c r="AG53" i="1" a="1"/>
  <c r="AG53" i="1" s="1"/>
  <c r="AH53" i="1" a="1"/>
  <c r="AH53" i="1" s="1"/>
  <c r="AI53" i="1" a="1"/>
  <c r="AI53" i="1" s="1"/>
  <c r="F54" i="1" a="1"/>
  <c r="F54" i="1" s="1"/>
  <c r="G54" i="1" a="1"/>
  <c r="G54" i="1" s="1"/>
  <c r="H54" i="1" a="1"/>
  <c r="H54" i="1" s="1"/>
  <c r="I54" i="1" a="1"/>
  <c r="I54" i="1" s="1"/>
  <c r="J54" i="1" a="1"/>
  <c r="J54" i="1" s="1"/>
  <c r="K54" i="1" a="1"/>
  <c r="K54" i="1" s="1"/>
  <c r="L54" i="1" a="1"/>
  <c r="L54" i="1" s="1"/>
  <c r="M54" i="1" a="1"/>
  <c r="M54" i="1" s="1"/>
  <c r="N54" i="1" a="1"/>
  <c r="N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T54" i="1" a="1"/>
  <c r="T54" i="1" s="1"/>
  <c r="U54" i="1" a="1"/>
  <c r="U54" i="1" s="1"/>
  <c r="V54" i="1" a="1"/>
  <c r="V54" i="1" s="1"/>
  <c r="W54" i="1" a="1"/>
  <c r="W54" i="1" s="1"/>
  <c r="X54" i="1" a="1"/>
  <c r="X54" i="1" s="1"/>
  <c r="Y54" i="1" a="1"/>
  <c r="Y54" i="1" s="1"/>
  <c r="Z54" i="1" a="1"/>
  <c r="Z54" i="1" s="1"/>
  <c r="AA54" i="1" a="1"/>
  <c r="AA54" i="1" s="1"/>
  <c r="AB54" i="1" a="1"/>
  <c r="AB54" i="1" s="1"/>
  <c r="AC54" i="1" a="1"/>
  <c r="AC54" i="1" s="1"/>
  <c r="AD54" i="1" a="1"/>
  <c r="AD54" i="1" s="1"/>
  <c r="AE54" i="1" a="1"/>
  <c r="AE54" i="1" s="1"/>
  <c r="AF54" i="1" a="1"/>
  <c r="AF54" i="1" s="1"/>
  <c r="AG54" i="1" a="1"/>
  <c r="AG54" i="1" s="1"/>
  <c r="AH54" i="1" a="1"/>
  <c r="AH54" i="1" s="1"/>
  <c r="AI54" i="1" a="1"/>
  <c r="AI54" i="1" s="1"/>
  <c r="F55" i="1" a="1"/>
  <c r="F55" i="1" s="1"/>
  <c r="G55" i="1" a="1"/>
  <c r="G55" i="1" s="1"/>
  <c r="H55" i="1" a="1"/>
  <c r="H55" i="1" s="1"/>
  <c r="I55" i="1" a="1"/>
  <c r="I55" i="1" s="1"/>
  <c r="J55" i="1" a="1"/>
  <c r="J55" i="1" s="1"/>
  <c r="K55" i="1" a="1"/>
  <c r="K55" i="1" s="1"/>
  <c r="L55" i="1" a="1"/>
  <c r="L55" i="1" s="1"/>
  <c r="M55" i="1" a="1"/>
  <c r="M55" i="1" s="1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T55" i="1" a="1"/>
  <c r="T55" i="1" s="1"/>
  <c r="U55" i="1" a="1"/>
  <c r="U55" i="1" s="1"/>
  <c r="V55" i="1" a="1"/>
  <c r="V55" i="1" s="1"/>
  <c r="W55" i="1" a="1"/>
  <c r="W55" i="1" s="1"/>
  <c r="X55" i="1" a="1"/>
  <c r="X55" i="1" s="1"/>
  <c r="Y55" i="1" a="1"/>
  <c r="Y55" i="1" s="1"/>
  <c r="Z55" i="1" a="1"/>
  <c r="Z55" i="1" s="1"/>
  <c r="AA55" i="1" a="1"/>
  <c r="AA55" i="1" s="1"/>
  <c r="AB55" i="1" a="1"/>
  <c r="AB55" i="1" s="1"/>
  <c r="AC55" i="1" a="1"/>
  <c r="AC55" i="1" s="1"/>
  <c r="AD55" i="1" a="1"/>
  <c r="AD55" i="1" s="1"/>
  <c r="AE55" i="1" a="1"/>
  <c r="AE55" i="1" s="1"/>
  <c r="AF55" i="1" a="1"/>
  <c r="AF55" i="1" s="1"/>
  <c r="AG55" i="1" a="1"/>
  <c r="AG55" i="1" s="1"/>
  <c r="AH55" i="1" a="1"/>
  <c r="AH55" i="1" s="1"/>
  <c r="AI55" i="1" a="1"/>
  <c r="AI55" i="1" s="1"/>
  <c r="F56" i="1" a="1"/>
  <c r="F56" i="1" s="1"/>
  <c r="G56" i="1" a="1"/>
  <c r="G56" i="1" s="1"/>
  <c r="H56" i="1" a="1"/>
  <c r="H56" i="1" s="1"/>
  <c r="I56" i="1" a="1"/>
  <c r="I56" i="1" s="1"/>
  <c r="J56" i="1" a="1"/>
  <c r="J56" i="1" s="1"/>
  <c r="K56" i="1" a="1"/>
  <c r="K56" i="1" s="1"/>
  <c r="L56" i="1" a="1"/>
  <c r="L56" i="1" s="1"/>
  <c r="M56" i="1" a="1"/>
  <c r="M56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T56" i="1" a="1"/>
  <c r="T56" i="1" s="1"/>
  <c r="U56" i="1" a="1"/>
  <c r="U56" i="1" s="1"/>
  <c r="V56" i="1" a="1"/>
  <c r="V56" i="1" s="1"/>
  <c r="W56" i="1" a="1"/>
  <c r="W56" i="1" s="1"/>
  <c r="X56" i="1" a="1"/>
  <c r="X56" i="1" s="1"/>
  <c r="Y56" i="1" a="1"/>
  <c r="Y56" i="1" s="1"/>
  <c r="Z56" i="1" a="1"/>
  <c r="Z56" i="1" s="1"/>
  <c r="AA56" i="1" a="1"/>
  <c r="AA56" i="1" s="1"/>
  <c r="AB56" i="1" a="1"/>
  <c r="AB56" i="1" s="1"/>
  <c r="AC56" i="1" a="1"/>
  <c r="AC56" i="1" s="1"/>
  <c r="AD56" i="1" a="1"/>
  <c r="AD56" i="1" s="1"/>
  <c r="AE56" i="1" a="1"/>
  <c r="AE56" i="1" s="1"/>
  <c r="AF56" i="1" a="1"/>
  <c r="AF56" i="1" s="1"/>
  <c r="AG56" i="1" a="1"/>
  <c r="AG56" i="1" s="1"/>
  <c r="AH56" i="1" a="1"/>
  <c r="AH56" i="1" s="1"/>
  <c r="AI56" i="1" a="1"/>
  <c r="AI56" i="1" s="1"/>
  <c r="F57" i="1" a="1"/>
  <c r="F57" i="1" s="1"/>
  <c r="G57" i="1" a="1"/>
  <c r="G57" i="1" s="1"/>
  <c r="H57" i="1" a="1"/>
  <c r="H57" i="1" s="1"/>
  <c r="I57" i="1" a="1"/>
  <c r="I57" i="1" s="1"/>
  <c r="J57" i="1" a="1"/>
  <c r="J57" i="1" s="1"/>
  <c r="K57" i="1" a="1"/>
  <c r="K57" i="1" s="1"/>
  <c r="L57" i="1" a="1"/>
  <c r="L57" i="1" s="1"/>
  <c r="M57" i="1" a="1"/>
  <c r="M57" i="1" s="1"/>
  <c r="N57" i="1" a="1"/>
  <c r="N57" i="1" s="1"/>
  <c r="O57" i="1" a="1"/>
  <c r="O57" i="1" s="1"/>
  <c r="P57" i="1" a="1"/>
  <c r="P57" i="1" s="1"/>
  <c r="Q57" i="1" a="1"/>
  <c r="Q57" i="1" s="1"/>
  <c r="R57" i="1" a="1"/>
  <c r="R57" i="1" s="1"/>
  <c r="S57" i="1" a="1"/>
  <c r="S57" i="1" s="1"/>
  <c r="T57" i="1" a="1"/>
  <c r="T57" i="1" s="1"/>
  <c r="U57" i="1" a="1"/>
  <c r="U57" i="1" s="1"/>
  <c r="V57" i="1" a="1"/>
  <c r="V57" i="1" s="1"/>
  <c r="W57" i="1" a="1"/>
  <c r="W57" i="1" s="1"/>
  <c r="X57" i="1" a="1"/>
  <c r="X57" i="1" s="1"/>
  <c r="Y57" i="1" a="1"/>
  <c r="Y57" i="1" s="1"/>
  <c r="Z57" i="1" a="1"/>
  <c r="Z57" i="1" s="1"/>
  <c r="AA57" i="1" a="1"/>
  <c r="AA57" i="1" s="1"/>
  <c r="AB57" i="1" a="1"/>
  <c r="AB57" i="1" s="1"/>
  <c r="AC57" i="1" a="1"/>
  <c r="AC57" i="1" s="1"/>
  <c r="AD57" i="1" a="1"/>
  <c r="AD57" i="1" s="1"/>
  <c r="AE57" i="1" a="1"/>
  <c r="AE57" i="1" s="1"/>
  <c r="AF57" i="1" a="1"/>
  <c r="AF57" i="1" s="1"/>
  <c r="AG57" i="1" a="1"/>
  <c r="AG57" i="1" s="1"/>
  <c r="AH57" i="1" a="1"/>
  <c r="AH57" i="1" s="1"/>
  <c r="AI57" i="1" a="1"/>
  <c r="AI57" i="1" s="1"/>
  <c r="F58" i="1" a="1"/>
  <c r="F58" i="1" s="1"/>
  <c r="G58" i="1" a="1"/>
  <c r="G58" i="1" s="1"/>
  <c r="H58" i="1" a="1"/>
  <c r="H58" i="1" s="1"/>
  <c r="I58" i="1" a="1"/>
  <c r="I58" i="1" s="1"/>
  <c r="J58" i="1" a="1"/>
  <c r="J58" i="1" s="1"/>
  <c r="K58" i="1" a="1"/>
  <c r="K58" i="1" s="1"/>
  <c r="L58" i="1" a="1"/>
  <c r="L58" i="1" s="1"/>
  <c r="M58" i="1" a="1"/>
  <c r="M58" i="1" s="1"/>
  <c r="N58" i="1" a="1"/>
  <c r="N58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T58" i="1" a="1"/>
  <c r="T58" i="1" s="1"/>
  <c r="U58" i="1" a="1"/>
  <c r="U58" i="1" s="1"/>
  <c r="V58" i="1" a="1"/>
  <c r="V58" i="1" s="1"/>
  <c r="W58" i="1" a="1"/>
  <c r="W58" i="1" s="1"/>
  <c r="X58" i="1" a="1"/>
  <c r="X58" i="1" s="1"/>
  <c r="Y58" i="1" a="1"/>
  <c r="Y58" i="1" s="1"/>
  <c r="Z58" i="1" a="1"/>
  <c r="Z58" i="1" s="1"/>
  <c r="AA58" i="1" a="1"/>
  <c r="AA58" i="1" s="1"/>
  <c r="AB58" i="1" a="1"/>
  <c r="AB58" i="1" s="1"/>
  <c r="AC58" i="1" a="1"/>
  <c r="AC58" i="1" s="1"/>
  <c r="AD58" i="1" a="1"/>
  <c r="AD58" i="1" s="1"/>
  <c r="AE58" i="1" a="1"/>
  <c r="AE58" i="1" s="1"/>
  <c r="AF58" i="1" a="1"/>
  <c r="AF58" i="1" s="1"/>
  <c r="AG58" i="1" a="1"/>
  <c r="AG58" i="1" s="1"/>
  <c r="AH58" i="1" a="1"/>
  <c r="AH58" i="1" s="1"/>
  <c r="AI58" i="1" a="1"/>
  <c r="AI58" i="1" s="1"/>
  <c r="F59" i="1" a="1"/>
  <c r="F59" i="1" s="1"/>
  <c r="G59" i="1" a="1"/>
  <c r="G59" i="1" s="1"/>
  <c r="H59" i="1" a="1"/>
  <c r="H59" i="1" s="1"/>
  <c r="I59" i="1" a="1"/>
  <c r="I59" i="1" s="1"/>
  <c r="J59" i="1" a="1"/>
  <c r="J59" i="1" s="1"/>
  <c r="K59" i="1" a="1"/>
  <c r="K59" i="1" s="1"/>
  <c r="L59" i="1" a="1"/>
  <c r="L59" i="1" s="1"/>
  <c r="M59" i="1" a="1"/>
  <c r="M59" i="1" s="1"/>
  <c r="N59" i="1" a="1"/>
  <c r="N59" i="1" s="1"/>
  <c r="O59" i="1" a="1"/>
  <c r="O59" i="1" s="1"/>
  <c r="P59" i="1" a="1"/>
  <c r="P59" i="1" s="1"/>
  <c r="Q59" i="1" a="1"/>
  <c r="Q59" i="1" s="1"/>
  <c r="R59" i="1" a="1"/>
  <c r="R59" i="1" s="1"/>
  <c r="S59" i="1" a="1"/>
  <c r="S59" i="1" s="1"/>
  <c r="T59" i="1" a="1"/>
  <c r="T59" i="1" s="1"/>
  <c r="U59" i="1" a="1"/>
  <c r="U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AA59" i="1" a="1"/>
  <c r="AA59" i="1" s="1"/>
  <c r="AB59" i="1" a="1"/>
  <c r="AB59" i="1" s="1"/>
  <c r="AC59" i="1" a="1"/>
  <c r="AC59" i="1" s="1"/>
  <c r="AD59" i="1" a="1"/>
  <c r="AD59" i="1" s="1"/>
  <c r="AE59" i="1" a="1"/>
  <c r="AE59" i="1" s="1"/>
  <c r="AF59" i="1" a="1"/>
  <c r="AF59" i="1" s="1"/>
  <c r="AG59" i="1" a="1"/>
  <c r="AG59" i="1" s="1"/>
  <c r="AH59" i="1" a="1"/>
  <c r="AH59" i="1" s="1"/>
  <c r="AI59" i="1" a="1"/>
  <c r="AI59" i="1" s="1"/>
  <c r="F60" i="1" a="1"/>
  <c r="F60" i="1" s="1"/>
  <c r="G60" i="1" a="1"/>
  <c r="G60" i="1" s="1"/>
  <c r="H60" i="1" a="1"/>
  <c r="H60" i="1" s="1"/>
  <c r="I60" i="1" a="1"/>
  <c r="I60" i="1" s="1"/>
  <c r="J60" i="1" a="1"/>
  <c r="J60" i="1" s="1"/>
  <c r="K60" i="1" a="1"/>
  <c r="K60" i="1" s="1"/>
  <c r="L60" i="1" a="1"/>
  <c r="L60" i="1" s="1"/>
  <c r="M60" i="1" a="1"/>
  <c r="M60" i="1" s="1"/>
  <c r="N60" i="1" a="1"/>
  <c r="N60" i="1" s="1"/>
  <c r="O60" i="1" a="1"/>
  <c r="O60" i="1" s="1"/>
  <c r="P60" i="1" a="1"/>
  <c r="P60" i="1" s="1"/>
  <c r="Q60" i="1" a="1"/>
  <c r="Q60" i="1" s="1"/>
  <c r="R60" i="1" a="1"/>
  <c r="R60" i="1" s="1"/>
  <c r="S60" i="1" a="1"/>
  <c r="S60" i="1" s="1"/>
  <c r="T60" i="1" a="1"/>
  <c r="T60" i="1" s="1"/>
  <c r="U60" i="1" a="1"/>
  <c r="U60" i="1" s="1"/>
  <c r="V60" i="1" a="1"/>
  <c r="V60" i="1" s="1"/>
  <c r="W60" i="1" a="1"/>
  <c r="W60" i="1" s="1"/>
  <c r="X60" i="1" a="1"/>
  <c r="X60" i="1" s="1"/>
  <c r="Y60" i="1" a="1"/>
  <c r="Y60" i="1" s="1"/>
  <c r="Z60" i="1" a="1"/>
  <c r="Z60" i="1" s="1"/>
  <c r="AA60" i="1" a="1"/>
  <c r="AA60" i="1" s="1"/>
  <c r="AB60" i="1" a="1"/>
  <c r="AB60" i="1" s="1"/>
  <c r="AC60" i="1" a="1"/>
  <c r="AC60" i="1" s="1"/>
  <c r="AD60" i="1" a="1"/>
  <c r="AD60" i="1" s="1"/>
  <c r="AE60" i="1" a="1"/>
  <c r="AE60" i="1" s="1"/>
  <c r="AF60" i="1" a="1"/>
  <c r="AF60" i="1" s="1"/>
  <c r="AG60" i="1" a="1"/>
  <c r="AG60" i="1" s="1"/>
  <c r="AH60" i="1" a="1"/>
  <c r="AH60" i="1" s="1"/>
  <c r="AI60" i="1" a="1"/>
  <c r="AI60" i="1" s="1"/>
  <c r="F61" i="1" a="1"/>
  <c r="F61" i="1" s="1"/>
  <c r="G61" i="1" a="1"/>
  <c r="G61" i="1" s="1"/>
  <c r="H61" i="1" a="1"/>
  <c r="H61" i="1" s="1"/>
  <c r="I61" i="1" a="1"/>
  <c r="I61" i="1" s="1"/>
  <c r="J61" i="1" a="1"/>
  <c r="J61" i="1" s="1"/>
  <c r="K61" i="1" a="1"/>
  <c r="K61" i="1" s="1"/>
  <c r="L61" i="1" a="1"/>
  <c r="L61" i="1" s="1"/>
  <c r="M61" i="1" a="1"/>
  <c r="M61" i="1" s="1"/>
  <c r="N61" i="1" a="1"/>
  <c r="N61" i="1" s="1"/>
  <c r="O61" i="1" a="1"/>
  <c r="O61" i="1" s="1"/>
  <c r="P61" i="1" a="1"/>
  <c r="P61" i="1" s="1"/>
  <c r="Q61" i="1" a="1"/>
  <c r="Q61" i="1" s="1"/>
  <c r="R61" i="1" a="1"/>
  <c r="R61" i="1" s="1"/>
  <c r="S61" i="1" a="1"/>
  <c r="S61" i="1" s="1"/>
  <c r="T61" i="1" a="1"/>
  <c r="T61" i="1" s="1"/>
  <c r="U61" i="1" a="1"/>
  <c r="U61" i="1" s="1"/>
  <c r="V61" i="1" a="1"/>
  <c r="V61" i="1" s="1"/>
  <c r="W61" i="1" a="1"/>
  <c r="W61" i="1" s="1"/>
  <c r="X61" i="1" a="1"/>
  <c r="X61" i="1" s="1"/>
  <c r="Y61" i="1" a="1"/>
  <c r="Y61" i="1" s="1"/>
  <c r="Z61" i="1" a="1"/>
  <c r="Z61" i="1" s="1"/>
  <c r="AA61" i="1" a="1"/>
  <c r="AA61" i="1" s="1"/>
  <c r="AB61" i="1" a="1"/>
  <c r="AB61" i="1" s="1"/>
  <c r="AC61" i="1" a="1"/>
  <c r="AC61" i="1" s="1"/>
  <c r="AD61" i="1" a="1"/>
  <c r="AD61" i="1" s="1"/>
  <c r="AE61" i="1" a="1"/>
  <c r="AE61" i="1" s="1"/>
  <c r="AF61" i="1" a="1"/>
  <c r="AF61" i="1" s="1"/>
  <c r="AG61" i="1" a="1"/>
  <c r="AG61" i="1" s="1"/>
  <c r="AH61" i="1" a="1"/>
  <c r="AH61" i="1" s="1"/>
  <c r="AI61" i="1" a="1"/>
  <c r="AI61" i="1" s="1"/>
  <c r="F62" i="1" a="1"/>
  <c r="F62" i="1" s="1"/>
  <c r="G62" i="1" a="1"/>
  <c r="G62" i="1" s="1"/>
  <c r="H62" i="1" a="1"/>
  <c r="H62" i="1" s="1"/>
  <c r="I62" i="1" a="1"/>
  <c r="I62" i="1" s="1"/>
  <c r="J62" i="1" a="1"/>
  <c r="J62" i="1" s="1"/>
  <c r="K62" i="1" a="1"/>
  <c r="K62" i="1" s="1"/>
  <c r="L62" i="1" a="1"/>
  <c r="L62" i="1" s="1"/>
  <c r="M62" i="1" a="1"/>
  <c r="M62" i="1" s="1"/>
  <c r="N62" i="1" a="1"/>
  <c r="N62" i="1" s="1"/>
  <c r="O62" i="1" a="1"/>
  <c r="O62" i="1" s="1"/>
  <c r="P62" i="1" a="1"/>
  <c r="P62" i="1" s="1"/>
  <c r="Q62" i="1" a="1"/>
  <c r="Q62" i="1" s="1"/>
  <c r="R62" i="1" a="1"/>
  <c r="R62" i="1" s="1"/>
  <c r="S62" i="1" a="1"/>
  <c r="S62" i="1" s="1"/>
  <c r="T62" i="1" a="1"/>
  <c r="T62" i="1" s="1"/>
  <c r="U62" i="1" a="1"/>
  <c r="U62" i="1" s="1"/>
  <c r="V62" i="1" a="1"/>
  <c r="V62" i="1" s="1"/>
  <c r="W62" i="1" a="1"/>
  <c r="W62" i="1" s="1"/>
  <c r="X62" i="1" a="1"/>
  <c r="X62" i="1" s="1"/>
  <c r="Y62" i="1" a="1"/>
  <c r="Y62" i="1" s="1"/>
  <c r="Z62" i="1" a="1"/>
  <c r="Z62" i="1" s="1"/>
  <c r="AA62" i="1" a="1"/>
  <c r="AA62" i="1" s="1"/>
  <c r="AB62" i="1" a="1"/>
  <c r="AB62" i="1" s="1"/>
  <c r="AC62" i="1" a="1"/>
  <c r="AC62" i="1" s="1"/>
  <c r="AD62" i="1" a="1"/>
  <c r="AD62" i="1" s="1"/>
  <c r="AE62" i="1" a="1"/>
  <c r="AE62" i="1" s="1"/>
  <c r="AF62" i="1" a="1"/>
  <c r="AF62" i="1" s="1"/>
  <c r="AG62" i="1" a="1"/>
  <c r="AG62" i="1" s="1"/>
  <c r="AH62" i="1" a="1"/>
  <c r="AH62" i="1" s="1"/>
  <c r="AI62" i="1" a="1"/>
  <c r="AI62" i="1" s="1"/>
  <c r="F63" i="1" a="1"/>
  <c r="F63" i="1" s="1"/>
  <c r="G63" i="1" a="1"/>
  <c r="G63" i="1" s="1"/>
  <c r="H63" i="1" a="1"/>
  <c r="H63" i="1" s="1"/>
  <c r="I63" i="1" a="1"/>
  <c r="I63" i="1" s="1"/>
  <c r="J63" i="1" a="1"/>
  <c r="J63" i="1" s="1"/>
  <c r="K63" i="1" a="1"/>
  <c r="K63" i="1" s="1"/>
  <c r="L63" i="1" a="1"/>
  <c r="L63" i="1" s="1"/>
  <c r="M63" i="1" a="1"/>
  <c r="M63" i="1" s="1"/>
  <c r="N63" i="1" a="1"/>
  <c r="N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T63" i="1" a="1"/>
  <c r="T63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AA63" i="1" a="1"/>
  <c r="AA63" i="1" s="1"/>
  <c r="AB63" i="1" a="1"/>
  <c r="AB63" i="1" s="1"/>
  <c r="AC63" i="1" a="1"/>
  <c r="AC63" i="1" s="1"/>
  <c r="AD63" i="1" a="1"/>
  <c r="AD63" i="1" s="1"/>
  <c r="AE63" i="1" a="1"/>
  <c r="AE63" i="1" s="1"/>
  <c r="AF63" i="1" a="1"/>
  <c r="AF63" i="1" s="1"/>
  <c r="AG63" i="1" a="1"/>
  <c r="AG63" i="1" s="1"/>
  <c r="AH63" i="1" a="1"/>
  <c r="AH63" i="1" s="1"/>
  <c r="AI63" i="1" a="1"/>
  <c r="AI63" i="1" s="1"/>
  <c r="F64" i="1" a="1"/>
  <c r="F64" i="1" s="1"/>
  <c r="G64" i="1" a="1"/>
  <c r="G64" i="1" s="1"/>
  <c r="H64" i="1" a="1"/>
  <c r="H64" i="1" s="1"/>
  <c r="I64" i="1" a="1"/>
  <c r="I64" i="1" s="1"/>
  <c r="J64" i="1" a="1"/>
  <c r="J64" i="1" s="1"/>
  <c r="K64" i="1" a="1"/>
  <c r="K64" i="1" s="1"/>
  <c r="L64" i="1" a="1"/>
  <c r="L64" i="1" s="1"/>
  <c r="M64" i="1" a="1"/>
  <c r="M64" i="1" s="1"/>
  <c r="N64" i="1" a="1"/>
  <c r="N64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AA64" i="1" a="1"/>
  <c r="AA64" i="1" s="1"/>
  <c r="AB64" i="1" a="1"/>
  <c r="AB64" i="1" s="1"/>
  <c r="AC64" i="1" a="1"/>
  <c r="AC64" i="1" s="1"/>
  <c r="AD64" i="1" a="1"/>
  <c r="AD64" i="1" s="1"/>
  <c r="AE64" i="1" a="1"/>
  <c r="AE64" i="1" s="1"/>
  <c r="AF64" i="1" a="1"/>
  <c r="AF64" i="1" s="1"/>
  <c r="AG64" i="1" a="1"/>
  <c r="AG64" i="1" s="1"/>
  <c r="AH64" i="1" a="1"/>
  <c r="AH64" i="1" s="1"/>
  <c r="AI64" i="1" a="1"/>
  <c r="AI64" i="1" s="1"/>
  <c r="F65" i="1" a="1"/>
  <c r="F65" i="1" s="1"/>
  <c r="G65" i="1" a="1"/>
  <c r="G65" i="1" s="1"/>
  <c r="H65" i="1" a="1"/>
  <c r="H65" i="1" s="1"/>
  <c r="I65" i="1" a="1"/>
  <c r="I65" i="1" s="1"/>
  <c r="J65" i="1" a="1"/>
  <c r="J65" i="1" s="1"/>
  <c r="K65" i="1" a="1"/>
  <c r="K65" i="1" s="1"/>
  <c r="L65" i="1" a="1"/>
  <c r="L65" i="1" s="1"/>
  <c r="M65" i="1" a="1"/>
  <c r="M65" i="1" s="1"/>
  <c r="N65" i="1" a="1"/>
  <c r="N65" i="1" s="1"/>
  <c r="O65" i="1" a="1"/>
  <c r="O65" i="1" s="1"/>
  <c r="P65" i="1" a="1"/>
  <c r="P65" i="1" s="1"/>
  <c r="Q65" i="1" a="1"/>
  <c r="Q65" i="1" s="1"/>
  <c r="R65" i="1" a="1"/>
  <c r="R65" i="1" s="1"/>
  <c r="S65" i="1" a="1"/>
  <c r="S65" i="1" s="1"/>
  <c r="T65" i="1" a="1"/>
  <c r="T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Z65" i="1" a="1"/>
  <c r="Z65" i="1" s="1"/>
  <c r="AA65" i="1" a="1"/>
  <c r="AA65" i="1" s="1"/>
  <c r="AB65" i="1" a="1"/>
  <c r="AB65" i="1" s="1"/>
  <c r="AC65" i="1" a="1"/>
  <c r="AC65" i="1" s="1"/>
  <c r="AD65" i="1" a="1"/>
  <c r="AD65" i="1" s="1"/>
  <c r="AE65" i="1" a="1"/>
  <c r="AE65" i="1" s="1"/>
  <c r="AF65" i="1" a="1"/>
  <c r="AF65" i="1" s="1"/>
  <c r="AG65" i="1" a="1"/>
  <c r="AG65" i="1" s="1"/>
  <c r="AH65" i="1" a="1"/>
  <c r="AH65" i="1" s="1"/>
  <c r="AI65" i="1" a="1"/>
  <c r="AI65" i="1" s="1"/>
  <c r="F66" i="1" a="1"/>
  <c r="F66" i="1" s="1"/>
  <c r="G66" i="1" a="1"/>
  <c r="G66" i="1" s="1"/>
  <c r="H66" i="1" a="1"/>
  <c r="H66" i="1" s="1"/>
  <c r="I66" i="1" a="1"/>
  <c r="I66" i="1" s="1"/>
  <c r="J66" i="1" a="1"/>
  <c r="J66" i="1" s="1"/>
  <c r="K66" i="1" a="1"/>
  <c r="K66" i="1" s="1"/>
  <c r="L66" i="1" a="1"/>
  <c r="L66" i="1" s="1"/>
  <c r="M66" i="1" a="1"/>
  <c r="M66" i="1" s="1"/>
  <c r="N66" i="1" a="1"/>
  <c r="N66" i="1" s="1"/>
  <c r="O66" i="1" a="1"/>
  <c r="O66" i="1" s="1"/>
  <c r="P66" i="1" a="1"/>
  <c r="P66" i="1" s="1"/>
  <c r="Q66" i="1" a="1"/>
  <c r="Q66" i="1" s="1"/>
  <c r="R66" i="1" a="1"/>
  <c r="R66" i="1" s="1"/>
  <c r="S66" i="1" a="1"/>
  <c r="S66" i="1" s="1"/>
  <c r="T66" i="1" a="1"/>
  <c r="T66" i="1" s="1"/>
  <c r="U66" i="1" a="1"/>
  <c r="U66" i="1" s="1"/>
  <c r="V66" i="1" a="1"/>
  <c r="V66" i="1" s="1"/>
  <c r="W66" i="1" a="1"/>
  <c r="W66" i="1" s="1"/>
  <c r="X66" i="1" a="1"/>
  <c r="X66" i="1" s="1"/>
  <c r="Y66" i="1" a="1"/>
  <c r="Y66" i="1" s="1"/>
  <c r="Z66" i="1" a="1"/>
  <c r="Z66" i="1" s="1"/>
  <c r="AA66" i="1" a="1"/>
  <c r="AA66" i="1" s="1"/>
  <c r="AB66" i="1" a="1"/>
  <c r="AB66" i="1" s="1"/>
  <c r="AC66" i="1" a="1"/>
  <c r="AC66" i="1" s="1"/>
  <c r="AD66" i="1" a="1"/>
  <c r="AD66" i="1" s="1"/>
  <c r="AE66" i="1" a="1"/>
  <c r="AE66" i="1" s="1"/>
  <c r="AF66" i="1" a="1"/>
  <c r="AF66" i="1" s="1"/>
  <c r="AG66" i="1" a="1"/>
  <c r="AG66" i="1" s="1"/>
  <c r="AH66" i="1" a="1"/>
  <c r="AH66" i="1" s="1"/>
  <c r="AI66" i="1" a="1"/>
  <c r="AI66" i="1" s="1"/>
  <c r="F67" i="1" a="1"/>
  <c r="F67" i="1" s="1"/>
  <c r="G67" i="1" a="1"/>
  <c r="G67" i="1" s="1"/>
  <c r="H67" i="1" a="1"/>
  <c r="H67" i="1" s="1"/>
  <c r="I67" i="1" a="1"/>
  <c r="I67" i="1" s="1"/>
  <c r="J67" i="1" a="1"/>
  <c r="J67" i="1" s="1"/>
  <c r="K67" i="1" a="1"/>
  <c r="K67" i="1" s="1"/>
  <c r="L67" i="1" a="1"/>
  <c r="L67" i="1" s="1"/>
  <c r="M67" i="1" a="1"/>
  <c r="M67" i="1" s="1"/>
  <c r="N67" i="1" a="1"/>
  <c r="N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U67" i="1" a="1"/>
  <c r="U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AA67" i="1" a="1"/>
  <c r="AA67" i="1" s="1"/>
  <c r="AB67" i="1" a="1"/>
  <c r="AB67" i="1" s="1"/>
  <c r="AC67" i="1" a="1"/>
  <c r="AC67" i="1" s="1"/>
  <c r="AD67" i="1" a="1"/>
  <c r="AD67" i="1" s="1"/>
  <c r="AE67" i="1" a="1"/>
  <c r="AE67" i="1" s="1"/>
  <c r="AF67" i="1" a="1"/>
  <c r="AF67" i="1" s="1"/>
  <c r="AG67" i="1" a="1"/>
  <c r="AG67" i="1" s="1"/>
  <c r="AH67" i="1" a="1"/>
  <c r="AH67" i="1" s="1"/>
  <c r="AI67" i="1" a="1"/>
  <c r="AI67" i="1" s="1"/>
  <c r="F68" i="1" a="1"/>
  <c r="F68" i="1" s="1"/>
  <c r="G68" i="1" a="1"/>
  <c r="G68" i="1" s="1"/>
  <c r="H68" i="1" a="1"/>
  <c r="H68" i="1" s="1"/>
  <c r="I68" i="1" a="1"/>
  <c r="I68" i="1" s="1"/>
  <c r="J68" i="1" a="1"/>
  <c r="J68" i="1" s="1"/>
  <c r="K68" i="1" a="1"/>
  <c r="K68" i="1" s="1"/>
  <c r="L68" i="1" a="1"/>
  <c r="L68" i="1" s="1"/>
  <c r="M68" i="1" a="1"/>
  <c r="M68" i="1" s="1"/>
  <c r="N68" i="1" a="1"/>
  <c r="N68" i="1" s="1"/>
  <c r="O68" i="1" a="1"/>
  <c r="O68" i="1" s="1"/>
  <c r="P68" i="1" a="1"/>
  <c r="P68" i="1" s="1"/>
  <c r="Q68" i="1" a="1"/>
  <c r="Q68" i="1" s="1"/>
  <c r="R68" i="1" a="1"/>
  <c r="R68" i="1" s="1"/>
  <c r="S68" i="1" a="1"/>
  <c r="S68" i="1" s="1"/>
  <c r="T68" i="1" a="1"/>
  <c r="T68" i="1" s="1"/>
  <c r="U68" i="1" a="1"/>
  <c r="U68" i="1" s="1"/>
  <c r="V68" i="1" a="1"/>
  <c r="V68" i="1" s="1"/>
  <c r="W68" i="1" a="1"/>
  <c r="W68" i="1" s="1"/>
  <c r="X68" i="1" a="1"/>
  <c r="X68" i="1" s="1"/>
  <c r="Y68" i="1" a="1"/>
  <c r="Y68" i="1" s="1"/>
  <c r="Z68" i="1" a="1"/>
  <c r="Z68" i="1" s="1"/>
  <c r="AA68" i="1" a="1"/>
  <c r="AA68" i="1" s="1"/>
  <c r="AB68" i="1" a="1"/>
  <c r="AB68" i="1" s="1"/>
  <c r="AC68" i="1" a="1"/>
  <c r="AC68" i="1" s="1"/>
  <c r="AD68" i="1" a="1"/>
  <c r="AD68" i="1" s="1"/>
  <c r="AE68" i="1" a="1"/>
  <c r="AE68" i="1" s="1"/>
  <c r="AF68" i="1" a="1"/>
  <c r="AF68" i="1" s="1"/>
  <c r="AG68" i="1" a="1"/>
  <c r="AG68" i="1" s="1"/>
  <c r="AH68" i="1" a="1"/>
  <c r="AH68" i="1" s="1"/>
  <c r="AI68" i="1" a="1"/>
  <c r="AI68" i="1" s="1"/>
  <c r="F69" i="1" a="1"/>
  <c r="F69" i="1" s="1"/>
  <c r="G69" i="1" a="1"/>
  <c r="G69" i="1" s="1"/>
  <c r="H69" i="1" a="1"/>
  <c r="H69" i="1" s="1"/>
  <c r="I69" i="1" a="1"/>
  <c r="I69" i="1" s="1"/>
  <c r="J69" i="1" a="1"/>
  <c r="J69" i="1" s="1"/>
  <c r="K69" i="1" a="1"/>
  <c r="K69" i="1" s="1"/>
  <c r="L69" i="1" a="1"/>
  <c r="L69" i="1" s="1"/>
  <c r="M69" i="1" a="1"/>
  <c r="M69" i="1" s="1"/>
  <c r="N69" i="1" a="1"/>
  <c r="N69" i="1" s="1"/>
  <c r="O69" i="1" a="1"/>
  <c r="O69" i="1" s="1"/>
  <c r="P69" i="1" a="1"/>
  <c r="P69" i="1" s="1"/>
  <c r="Q69" i="1" a="1"/>
  <c r="Q69" i="1" s="1"/>
  <c r="R69" i="1" a="1"/>
  <c r="R69" i="1" s="1"/>
  <c r="S69" i="1" a="1"/>
  <c r="S69" i="1" s="1"/>
  <c r="T69" i="1" a="1"/>
  <c r="T69" i="1" s="1"/>
  <c r="U69" i="1" a="1"/>
  <c r="U69" i="1" s="1"/>
  <c r="V69" i="1" a="1"/>
  <c r="V69" i="1" s="1"/>
  <c r="W69" i="1" a="1"/>
  <c r="W69" i="1" s="1"/>
  <c r="X69" i="1" a="1"/>
  <c r="X69" i="1" s="1"/>
  <c r="Y69" i="1" a="1"/>
  <c r="Y69" i="1" s="1"/>
  <c r="Z69" i="1" a="1"/>
  <c r="Z69" i="1" s="1"/>
  <c r="AA69" i="1" a="1"/>
  <c r="AA69" i="1" s="1"/>
  <c r="AB69" i="1" a="1"/>
  <c r="AB69" i="1" s="1"/>
  <c r="AC69" i="1" a="1"/>
  <c r="AC69" i="1" s="1"/>
  <c r="AD69" i="1" a="1"/>
  <c r="AD69" i="1" s="1"/>
  <c r="AE69" i="1" a="1"/>
  <c r="AE69" i="1" s="1"/>
  <c r="AF69" i="1" a="1"/>
  <c r="AF69" i="1" s="1"/>
  <c r="AG69" i="1" a="1"/>
  <c r="AG69" i="1" s="1"/>
  <c r="AH69" i="1" a="1"/>
  <c r="AH69" i="1" s="1"/>
  <c r="AI69" i="1" a="1"/>
  <c r="AI69" i="1" s="1"/>
  <c r="F70" i="1" a="1"/>
  <c r="F70" i="1" s="1"/>
  <c r="G70" i="1" a="1"/>
  <c r="G70" i="1" s="1"/>
  <c r="H70" i="1" a="1"/>
  <c r="H70" i="1" s="1"/>
  <c r="I70" i="1" a="1"/>
  <c r="I70" i="1" s="1"/>
  <c r="J70" i="1" a="1"/>
  <c r="J70" i="1" s="1"/>
  <c r="K70" i="1" a="1"/>
  <c r="K70" i="1" s="1"/>
  <c r="L70" i="1" a="1"/>
  <c r="L70" i="1" s="1"/>
  <c r="M70" i="1" a="1"/>
  <c r="M70" i="1" s="1"/>
  <c r="N70" i="1" a="1"/>
  <c r="N70" i="1" s="1"/>
  <c r="O70" i="1" a="1"/>
  <c r="O70" i="1" s="1"/>
  <c r="P70" i="1" a="1"/>
  <c r="P70" i="1" s="1"/>
  <c r="Q70" i="1" a="1"/>
  <c r="Q70" i="1" s="1"/>
  <c r="R70" i="1" a="1"/>
  <c r="R70" i="1" s="1"/>
  <c r="S70" i="1" a="1"/>
  <c r="S70" i="1" s="1"/>
  <c r="T70" i="1" a="1"/>
  <c r="T70" i="1" s="1"/>
  <c r="U70" i="1" a="1"/>
  <c r="U70" i="1" s="1"/>
  <c r="V70" i="1" a="1"/>
  <c r="V70" i="1" s="1"/>
  <c r="W70" i="1" a="1"/>
  <c r="W70" i="1" s="1"/>
  <c r="X70" i="1" a="1"/>
  <c r="X70" i="1" s="1"/>
  <c r="Y70" i="1" a="1"/>
  <c r="Y70" i="1" s="1"/>
  <c r="Z70" i="1" a="1"/>
  <c r="Z70" i="1" s="1"/>
  <c r="AA70" i="1" a="1"/>
  <c r="AA70" i="1" s="1"/>
  <c r="AB70" i="1" a="1"/>
  <c r="AB70" i="1" s="1"/>
  <c r="AC70" i="1" a="1"/>
  <c r="AC70" i="1" s="1"/>
  <c r="AD70" i="1" a="1"/>
  <c r="AD70" i="1" s="1"/>
  <c r="AE70" i="1" a="1"/>
  <c r="AE70" i="1" s="1"/>
  <c r="AF70" i="1" a="1"/>
  <c r="AF70" i="1" s="1"/>
  <c r="AG70" i="1" a="1"/>
  <c r="AG70" i="1" s="1"/>
  <c r="AH70" i="1" a="1"/>
  <c r="AH70" i="1" s="1"/>
  <c r="AI70" i="1" a="1"/>
  <c r="AI70" i="1" s="1"/>
  <c r="F71" i="1" a="1"/>
  <c r="F71" i="1" s="1"/>
  <c r="G71" i="1" a="1"/>
  <c r="G71" i="1" s="1"/>
  <c r="H71" i="1" a="1"/>
  <c r="H71" i="1" s="1"/>
  <c r="I71" i="1" a="1"/>
  <c r="I71" i="1" s="1"/>
  <c r="J71" i="1" a="1"/>
  <c r="J71" i="1" s="1"/>
  <c r="K71" i="1" a="1"/>
  <c r="K71" i="1" s="1"/>
  <c r="L71" i="1" a="1"/>
  <c r="L71" i="1" s="1"/>
  <c r="M71" i="1" a="1"/>
  <c r="M71" i="1" s="1"/>
  <c r="N71" i="1" a="1"/>
  <c r="N71" i="1" s="1"/>
  <c r="O71" i="1" a="1"/>
  <c r="O71" i="1" s="1"/>
  <c r="P71" i="1" a="1"/>
  <c r="P71" i="1" s="1"/>
  <c r="Q71" i="1" a="1"/>
  <c r="Q71" i="1" s="1"/>
  <c r="R71" i="1" a="1"/>
  <c r="R71" i="1" s="1"/>
  <c r="S71" i="1" a="1"/>
  <c r="S71" i="1" s="1"/>
  <c r="T71" i="1" a="1"/>
  <c r="T71" i="1" s="1"/>
  <c r="U71" i="1" a="1"/>
  <c r="U71" i="1" s="1"/>
  <c r="V71" i="1" a="1"/>
  <c r="V71" i="1" s="1"/>
  <c r="W71" i="1" a="1"/>
  <c r="W71" i="1" s="1"/>
  <c r="X71" i="1" a="1"/>
  <c r="X71" i="1" s="1"/>
  <c r="Y71" i="1" a="1"/>
  <c r="Y71" i="1" s="1"/>
  <c r="Z71" i="1" a="1"/>
  <c r="Z71" i="1" s="1"/>
  <c r="AA71" i="1" a="1"/>
  <c r="AA71" i="1" s="1"/>
  <c r="AB71" i="1" a="1"/>
  <c r="AB71" i="1" s="1"/>
  <c r="AC71" i="1" a="1"/>
  <c r="AC71" i="1" s="1"/>
  <c r="AD71" i="1" a="1"/>
  <c r="AD71" i="1" s="1"/>
  <c r="AE71" i="1" a="1"/>
  <c r="AE71" i="1" s="1"/>
  <c r="AF71" i="1" a="1"/>
  <c r="AF71" i="1" s="1"/>
  <c r="AG71" i="1" a="1"/>
  <c r="AG71" i="1" s="1"/>
  <c r="AH71" i="1" a="1"/>
  <c r="AH71" i="1" s="1"/>
  <c r="AI71" i="1" a="1"/>
  <c r="AI71" i="1" s="1"/>
  <c r="F42" i="1" a="1"/>
  <c r="F42" i="1" s="1"/>
  <c r="G42" i="1" a="1"/>
  <c r="G42" i="1" s="1"/>
  <c r="AT5" i="1" a="1"/>
  <c r="AT5" i="1" s="1"/>
  <c r="AT6" i="1" a="1"/>
  <c r="AT6" i="1" s="1"/>
  <c r="AT7" i="1" a="1"/>
  <c r="AT7" i="1" s="1"/>
  <c r="AT8" i="1" a="1"/>
  <c r="AT8" i="1" s="1"/>
  <c r="AT9" i="1" a="1"/>
  <c r="AT9" i="1" s="1"/>
  <c r="AT10" i="1" a="1"/>
  <c r="AT10" i="1" s="1"/>
  <c r="AT11" i="1" a="1"/>
  <c r="AT11" i="1" s="1"/>
  <c r="AT12" i="1" a="1"/>
  <c r="AT12" i="1" s="1"/>
  <c r="AT13" i="1" a="1"/>
  <c r="AT13" i="1" s="1"/>
  <c r="AT14" i="1" a="1"/>
  <c r="AT14" i="1" s="1"/>
  <c r="AT15" i="1" a="1"/>
  <c r="AT15" i="1" s="1"/>
  <c r="AT16" i="1" a="1"/>
  <c r="AT16" i="1" s="1"/>
  <c r="AT17" i="1" a="1"/>
  <c r="AT17" i="1" s="1"/>
  <c r="AT18" i="1" a="1"/>
  <c r="AT18" i="1" s="1"/>
  <c r="AT19" i="1" a="1"/>
  <c r="AT19" i="1" s="1"/>
  <c r="AT20" i="1" a="1"/>
  <c r="AT20" i="1" s="1"/>
  <c r="AT21" i="1" a="1"/>
  <c r="AT21" i="1" s="1"/>
  <c r="C511" i="2" s="1" a="1"/>
  <c r="C511" i="2" s="1"/>
  <c r="AT22" i="1" a="1"/>
  <c r="AT22" i="1" s="1"/>
  <c r="AT23" i="1" a="1"/>
  <c r="AT23" i="1" s="1"/>
  <c r="AT24" i="1" a="1"/>
  <c r="AT24" i="1" s="1"/>
  <c r="AT25" i="1" a="1"/>
  <c r="AT25" i="1" s="1"/>
  <c r="AT26" i="1" a="1"/>
  <c r="AT26" i="1" s="1"/>
  <c r="AT27" i="1" a="1"/>
  <c r="AT27" i="1" s="1"/>
  <c r="AT28" i="1" a="1"/>
  <c r="AT28" i="1" s="1"/>
  <c r="AT29" i="1" a="1"/>
  <c r="AT29" i="1" s="1"/>
  <c r="AT30" i="1" a="1"/>
  <c r="AT30" i="1" s="1"/>
  <c r="AT31" i="1" a="1"/>
  <c r="AT31" i="1" s="1"/>
  <c r="AT32" i="1" a="1"/>
  <c r="AT32" i="1" s="1"/>
  <c r="AT33" i="1" a="1"/>
  <c r="AT33" i="1" s="1"/>
  <c r="C929" i="2" s="1" a="1"/>
  <c r="C929" i="2" s="1"/>
  <c r="C961" i="2" a="1"/>
  <c r="C961" i="2" s="1"/>
  <c r="C993" i="2" a="1"/>
  <c r="C993" i="2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BC5" i="1" a="1"/>
  <c r="BC5" i="1" s="1"/>
  <c r="BD5" i="1" a="1"/>
  <c r="BD5" i="1" s="1"/>
  <c r="BE5" i="1" a="1"/>
  <c r="BE5" i="1" s="1"/>
  <c r="BF5" i="1" a="1"/>
  <c r="BF5" i="1" s="1"/>
  <c r="BG5" i="1" a="1"/>
  <c r="BG5" i="1" s="1"/>
  <c r="BH5" i="1" a="1"/>
  <c r="BH5" i="1" s="1"/>
  <c r="BI5" i="1" a="1"/>
  <c r="BI5" i="1" s="1"/>
  <c r="BJ5" i="1" a="1"/>
  <c r="BJ5" i="1" s="1"/>
  <c r="BK5" i="1" a="1"/>
  <c r="BK5" i="1" s="1"/>
  <c r="BL5" i="1" a="1"/>
  <c r="BL5" i="1" s="1"/>
  <c r="BM5" i="1" a="1"/>
  <c r="BM5" i="1" s="1"/>
  <c r="BN5" i="1" a="1"/>
  <c r="BN5" i="1" s="1"/>
  <c r="BO5" i="1" a="1"/>
  <c r="BO5" i="1" s="1"/>
  <c r="BP5" i="1" a="1"/>
  <c r="BP5" i="1" s="1"/>
  <c r="BQ5" i="1" a="1"/>
  <c r="BQ5" i="1" s="1"/>
  <c r="BR5" i="1" a="1"/>
  <c r="BR5" i="1" s="1"/>
  <c r="BS5" i="1" a="1"/>
  <c r="BS5" i="1" s="1"/>
  <c r="BT5" i="1" a="1"/>
  <c r="BT5" i="1" s="1"/>
  <c r="BU5" i="1" a="1"/>
  <c r="BU5" i="1" s="1"/>
  <c r="BV5" i="1" a="1"/>
  <c r="BV5" i="1" s="1"/>
  <c r="BW5" i="1" a="1"/>
  <c r="BW5" i="1" s="1"/>
  <c r="AU6" i="1" a="1"/>
  <c r="AU6" i="1" s="1"/>
  <c r="AV6" i="1" a="1"/>
  <c r="AV6" i="1" s="1"/>
  <c r="C63" i="2" s="1" a="1"/>
  <c r="C63" i="2" s="1"/>
  <c r="AW6" i="1" a="1"/>
  <c r="AW6" i="1" s="1"/>
  <c r="C64" i="2" s="1" a="1"/>
  <c r="C64" i="2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BC6" i="1" a="1"/>
  <c r="BC6" i="1" s="1"/>
  <c r="BD6" i="1" a="1"/>
  <c r="BD6" i="1" s="1"/>
  <c r="BE6" i="1" a="1"/>
  <c r="BE6" i="1" s="1"/>
  <c r="BF6" i="1" a="1"/>
  <c r="BF6" i="1" s="1"/>
  <c r="BG6" i="1" a="1"/>
  <c r="BG6" i="1" s="1"/>
  <c r="BH6" i="1" a="1"/>
  <c r="BH6" i="1" s="1"/>
  <c r="BI6" i="1" a="1"/>
  <c r="BI6" i="1" s="1"/>
  <c r="BJ6" i="1" a="1"/>
  <c r="BJ6" i="1" s="1"/>
  <c r="BK6" i="1" a="1"/>
  <c r="BK6" i="1" s="1"/>
  <c r="BL6" i="1" a="1"/>
  <c r="BL6" i="1" s="1"/>
  <c r="BM6" i="1" a="1"/>
  <c r="BM6" i="1" s="1"/>
  <c r="BN6" i="1" a="1"/>
  <c r="BN6" i="1" s="1"/>
  <c r="BO6" i="1" a="1"/>
  <c r="BO6" i="1" s="1"/>
  <c r="BP6" i="1" a="1"/>
  <c r="BP6" i="1" s="1"/>
  <c r="BQ6" i="1" a="1"/>
  <c r="BQ6" i="1" s="1"/>
  <c r="BR6" i="1" a="1"/>
  <c r="BR6" i="1" s="1"/>
  <c r="BS6" i="1" a="1"/>
  <c r="BS6" i="1" s="1"/>
  <c r="BT6" i="1" a="1"/>
  <c r="BT6" i="1" s="1"/>
  <c r="BU6" i="1" a="1"/>
  <c r="BU6" i="1" s="1"/>
  <c r="BV6" i="1" a="1"/>
  <c r="BV6" i="1" s="1"/>
  <c r="BW6" i="1" a="1"/>
  <c r="BW6" i="1" s="1"/>
  <c r="AU7" i="1" a="1"/>
  <c r="AU7" i="1" s="1"/>
  <c r="AV7" i="1" a="1"/>
  <c r="AV7" i="1" s="1"/>
  <c r="AW7" i="1" a="1"/>
  <c r="AW7" i="1" s="1"/>
  <c r="AX7" i="1" a="1"/>
  <c r="AX7" i="1" s="1"/>
  <c r="C95" i="2" s="1" a="1"/>
  <c r="C95" i="2" s="1"/>
  <c r="AY7" i="1" a="1"/>
  <c r="AY7" i="1" s="1"/>
  <c r="C96" i="2" s="1" a="1"/>
  <c r="C96" i="2" s="1"/>
  <c r="AZ7" i="1" a="1"/>
  <c r="AZ7" i="1" s="1"/>
  <c r="BA7" i="1" a="1"/>
  <c r="BA7" i="1" s="1"/>
  <c r="BB7" i="1" a="1"/>
  <c r="BB7" i="1" s="1"/>
  <c r="BC7" i="1" a="1"/>
  <c r="BC7" i="1" s="1"/>
  <c r="BD7" i="1" a="1"/>
  <c r="BD7" i="1" s="1"/>
  <c r="BE7" i="1" a="1"/>
  <c r="BE7" i="1" s="1"/>
  <c r="BF7" i="1" a="1"/>
  <c r="BF7" i="1" s="1"/>
  <c r="BG7" i="1" a="1"/>
  <c r="BG7" i="1" s="1"/>
  <c r="BH7" i="1" a="1"/>
  <c r="BH7" i="1" s="1"/>
  <c r="BI7" i="1" a="1"/>
  <c r="BI7" i="1" s="1"/>
  <c r="BJ7" i="1" a="1"/>
  <c r="BJ7" i="1" s="1"/>
  <c r="BK7" i="1" a="1"/>
  <c r="BK7" i="1" s="1"/>
  <c r="BL7" i="1" a="1"/>
  <c r="BL7" i="1" s="1"/>
  <c r="BM7" i="1" a="1"/>
  <c r="BM7" i="1" s="1"/>
  <c r="BN7" i="1" a="1"/>
  <c r="BN7" i="1" s="1"/>
  <c r="BO7" i="1" a="1"/>
  <c r="BO7" i="1" s="1"/>
  <c r="BP7" i="1" a="1"/>
  <c r="BP7" i="1" s="1"/>
  <c r="BQ7" i="1" a="1"/>
  <c r="BQ7" i="1" s="1"/>
  <c r="BR7" i="1" a="1"/>
  <c r="BR7" i="1" s="1"/>
  <c r="BS7" i="1" a="1"/>
  <c r="BS7" i="1" s="1"/>
  <c r="BT7" i="1" a="1"/>
  <c r="BT7" i="1" s="1"/>
  <c r="BU7" i="1" a="1"/>
  <c r="BU7" i="1" s="1"/>
  <c r="BV7" i="1" a="1"/>
  <c r="BV7" i="1" s="1"/>
  <c r="BW7" i="1" a="1"/>
  <c r="BW7" i="1" s="1"/>
  <c r="AU8" i="1" a="1"/>
  <c r="AU8" i="1" s="1"/>
  <c r="AV8" i="1" a="1"/>
  <c r="AV8" i="1" s="1"/>
  <c r="AW8" i="1" a="1"/>
  <c r="AW8" i="1" s="1"/>
  <c r="AX8" i="1" a="1"/>
  <c r="AX8" i="1" s="1"/>
  <c r="AY8" i="1" a="1"/>
  <c r="AY8" i="1" s="1"/>
  <c r="AZ8" i="1" a="1"/>
  <c r="AZ8" i="1" s="1"/>
  <c r="C127" i="2" s="1" a="1"/>
  <c r="C127" i="2" s="1"/>
  <c r="BA8" i="1" a="1"/>
  <c r="BA8" i="1" s="1"/>
  <c r="C128" i="2" s="1" a="1"/>
  <c r="C128" i="2" s="1"/>
  <c r="BB8" i="1" a="1"/>
  <c r="BB8" i="1" s="1"/>
  <c r="BC8" i="1" a="1"/>
  <c r="BC8" i="1" s="1"/>
  <c r="BD8" i="1" a="1"/>
  <c r="BD8" i="1" s="1"/>
  <c r="BE8" i="1" a="1"/>
  <c r="BE8" i="1" s="1"/>
  <c r="BF8" i="1" a="1"/>
  <c r="BF8" i="1" s="1"/>
  <c r="BG8" i="1" a="1"/>
  <c r="BG8" i="1" s="1"/>
  <c r="BH8" i="1" a="1"/>
  <c r="BH8" i="1" s="1"/>
  <c r="BI8" i="1" a="1"/>
  <c r="BI8" i="1" s="1"/>
  <c r="BJ8" i="1" a="1"/>
  <c r="BJ8" i="1" s="1"/>
  <c r="BK8" i="1" a="1"/>
  <c r="BK8" i="1" s="1"/>
  <c r="BL8" i="1" a="1"/>
  <c r="BL8" i="1" s="1"/>
  <c r="BM8" i="1" a="1"/>
  <c r="BM8" i="1" s="1"/>
  <c r="BN8" i="1" a="1"/>
  <c r="BN8" i="1" s="1"/>
  <c r="BO8" i="1" a="1"/>
  <c r="BO8" i="1" s="1"/>
  <c r="BP8" i="1" a="1"/>
  <c r="BP8" i="1" s="1"/>
  <c r="BQ8" i="1" a="1"/>
  <c r="BQ8" i="1" s="1"/>
  <c r="BR8" i="1" a="1"/>
  <c r="BR8" i="1" s="1"/>
  <c r="BS8" i="1" a="1"/>
  <c r="BS8" i="1" s="1"/>
  <c r="BT8" i="1" a="1"/>
  <c r="BT8" i="1" s="1"/>
  <c r="BU8" i="1" a="1"/>
  <c r="BU8" i="1" s="1"/>
  <c r="BV8" i="1" a="1"/>
  <c r="BV8" i="1" s="1"/>
  <c r="BW8" i="1" a="1"/>
  <c r="BW8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B9" i="1" a="1"/>
  <c r="BB9" i="1" s="1"/>
  <c r="C159" i="2" s="1" a="1"/>
  <c r="C159" i="2" s="1"/>
  <c r="BC9" i="1" a="1"/>
  <c r="BC9" i="1" s="1"/>
  <c r="C160" i="2" s="1" a="1"/>
  <c r="C160" i="2" s="1"/>
  <c r="BD9" i="1" a="1"/>
  <c r="BD9" i="1" s="1"/>
  <c r="BE9" i="1" a="1"/>
  <c r="BE9" i="1" s="1"/>
  <c r="BF9" i="1" a="1"/>
  <c r="BF9" i="1" s="1"/>
  <c r="BG9" i="1" a="1"/>
  <c r="BG9" i="1" s="1"/>
  <c r="BH9" i="1" a="1"/>
  <c r="BH9" i="1" s="1"/>
  <c r="BI9" i="1" a="1"/>
  <c r="BI9" i="1" s="1"/>
  <c r="BJ9" i="1" a="1"/>
  <c r="BJ9" i="1" s="1"/>
  <c r="BK9" i="1" a="1"/>
  <c r="BK9" i="1" s="1"/>
  <c r="BL9" i="1" a="1"/>
  <c r="BL9" i="1" s="1"/>
  <c r="BM9" i="1" a="1"/>
  <c r="BM9" i="1" s="1"/>
  <c r="BN9" i="1" a="1"/>
  <c r="BN9" i="1" s="1"/>
  <c r="BO9" i="1" a="1"/>
  <c r="BO9" i="1" s="1"/>
  <c r="BP9" i="1" a="1"/>
  <c r="BP9" i="1" s="1"/>
  <c r="BQ9" i="1" a="1"/>
  <c r="BQ9" i="1" s="1"/>
  <c r="BR9" i="1" a="1"/>
  <c r="BR9" i="1" s="1"/>
  <c r="BS9" i="1" a="1"/>
  <c r="BS9" i="1" s="1"/>
  <c r="BT9" i="1" a="1"/>
  <c r="BT9" i="1" s="1"/>
  <c r="BU9" i="1" a="1"/>
  <c r="BU9" i="1" s="1"/>
  <c r="BV9" i="1" a="1"/>
  <c r="BV9" i="1" s="1"/>
  <c r="BW9" i="1" a="1"/>
  <c r="BW9" i="1" s="1"/>
  <c r="AU10" i="1" a="1"/>
  <c r="AU10" i="1" s="1"/>
  <c r="AV10" i="1" a="1"/>
  <c r="AV10" i="1" s="1"/>
  <c r="AW10" i="1" a="1"/>
  <c r="AW10" i="1" s="1"/>
  <c r="AX10" i="1" a="1"/>
  <c r="AX10" i="1" s="1"/>
  <c r="AY10" i="1" a="1"/>
  <c r="AY10" i="1" s="1"/>
  <c r="AZ10" i="1" a="1"/>
  <c r="AZ10" i="1" s="1"/>
  <c r="BA10" i="1" a="1"/>
  <c r="BA10" i="1" s="1"/>
  <c r="BB10" i="1" a="1"/>
  <c r="BB10" i="1" s="1"/>
  <c r="BC10" i="1" a="1"/>
  <c r="BC10" i="1" s="1"/>
  <c r="BD10" i="1" a="1"/>
  <c r="BD10" i="1" s="1"/>
  <c r="C191" i="2" s="1" a="1"/>
  <c r="C191" i="2" s="1"/>
  <c r="BE10" i="1" a="1"/>
  <c r="BE10" i="1" s="1"/>
  <c r="C192" i="2" s="1" a="1"/>
  <c r="C192" i="2" s="1"/>
  <c r="BF10" i="1" a="1"/>
  <c r="BF10" i="1" s="1"/>
  <c r="BG10" i="1" a="1"/>
  <c r="BG10" i="1" s="1"/>
  <c r="BH10" i="1" a="1"/>
  <c r="BH10" i="1" s="1"/>
  <c r="BI10" i="1" a="1"/>
  <c r="BI10" i="1" s="1"/>
  <c r="BJ10" i="1" a="1"/>
  <c r="BJ10" i="1" s="1"/>
  <c r="BK10" i="1" a="1"/>
  <c r="BK10" i="1" s="1"/>
  <c r="BL10" i="1" a="1"/>
  <c r="BL10" i="1" s="1"/>
  <c r="BM10" i="1" a="1"/>
  <c r="BM10" i="1" s="1"/>
  <c r="BN10" i="1" a="1"/>
  <c r="BN10" i="1" s="1"/>
  <c r="BO10" i="1" a="1"/>
  <c r="BO10" i="1" s="1"/>
  <c r="BP10" i="1" a="1"/>
  <c r="BP10" i="1" s="1"/>
  <c r="BQ10" i="1" a="1"/>
  <c r="BQ10" i="1" s="1"/>
  <c r="BR10" i="1" a="1"/>
  <c r="BR10" i="1" s="1"/>
  <c r="BS10" i="1" a="1"/>
  <c r="BS10" i="1" s="1"/>
  <c r="BT10" i="1" a="1"/>
  <c r="BT10" i="1" s="1"/>
  <c r="BU10" i="1" a="1"/>
  <c r="BU10" i="1" s="1"/>
  <c r="BV10" i="1" a="1"/>
  <c r="BV10" i="1" s="1"/>
  <c r="BW10" i="1" a="1"/>
  <c r="BW10" i="1" s="1"/>
  <c r="AU11" i="1" a="1"/>
  <c r="AU11" i="1" s="1"/>
  <c r="AV11" i="1" a="1"/>
  <c r="AV11" i="1" s="1"/>
  <c r="AW11" i="1" a="1"/>
  <c r="AW11" i="1" s="1"/>
  <c r="AX11" i="1" a="1"/>
  <c r="AX11" i="1" s="1"/>
  <c r="AY11" i="1" a="1"/>
  <c r="AY11" i="1" s="1"/>
  <c r="AZ11" i="1" a="1"/>
  <c r="AZ11" i="1" s="1"/>
  <c r="BA11" i="1" a="1"/>
  <c r="BA11" i="1" s="1"/>
  <c r="BB11" i="1" a="1"/>
  <c r="BB11" i="1" s="1"/>
  <c r="BC11" i="1" a="1"/>
  <c r="BC11" i="1" s="1"/>
  <c r="BD11" i="1" a="1"/>
  <c r="BD11" i="1" s="1"/>
  <c r="BE11" i="1" a="1"/>
  <c r="BE11" i="1" s="1"/>
  <c r="BF11" i="1" a="1"/>
  <c r="BF11" i="1" s="1"/>
  <c r="BG11" i="1" a="1"/>
  <c r="BG11" i="1" s="1"/>
  <c r="BH11" i="1" a="1"/>
  <c r="BH11" i="1" s="1"/>
  <c r="BI11" i="1" a="1"/>
  <c r="BI11" i="1" s="1"/>
  <c r="BJ11" i="1" a="1"/>
  <c r="BJ11" i="1" s="1"/>
  <c r="BK11" i="1" a="1"/>
  <c r="BK11" i="1" s="1"/>
  <c r="BL11" i="1" a="1"/>
  <c r="BL11" i="1" s="1"/>
  <c r="BM11" i="1" a="1"/>
  <c r="BM11" i="1" s="1"/>
  <c r="BN11" i="1" a="1"/>
  <c r="BN11" i="1" s="1"/>
  <c r="BO11" i="1" a="1"/>
  <c r="BO11" i="1" s="1"/>
  <c r="BP11" i="1" a="1"/>
  <c r="BP11" i="1" s="1"/>
  <c r="BQ11" i="1" a="1"/>
  <c r="BQ11" i="1" s="1"/>
  <c r="BR11" i="1" a="1"/>
  <c r="BR11" i="1" s="1"/>
  <c r="BS11" i="1" a="1"/>
  <c r="BS11" i="1" s="1"/>
  <c r="BT11" i="1" a="1"/>
  <c r="BT11" i="1" s="1"/>
  <c r="BU11" i="1" a="1"/>
  <c r="BU11" i="1" s="1"/>
  <c r="BV11" i="1" a="1"/>
  <c r="BV11" i="1" s="1"/>
  <c r="BW11" i="1" a="1"/>
  <c r="BW11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 s="1"/>
  <c r="BA12" i="1" a="1"/>
  <c r="BA12" i="1" s="1"/>
  <c r="BB12" i="1" a="1"/>
  <c r="BB12" i="1" s="1"/>
  <c r="BC12" i="1" a="1"/>
  <c r="BC12" i="1" s="1"/>
  <c r="BD12" i="1" a="1"/>
  <c r="BD12" i="1" s="1"/>
  <c r="BE12" i="1" a="1"/>
  <c r="BE12" i="1" s="1"/>
  <c r="BF12" i="1" a="1"/>
  <c r="BF12" i="1" s="1"/>
  <c r="BG12" i="1" a="1"/>
  <c r="BG12" i="1" s="1"/>
  <c r="BH12" i="1" a="1"/>
  <c r="BH12" i="1" s="1"/>
  <c r="BI12" i="1" a="1"/>
  <c r="BI12" i="1" s="1"/>
  <c r="C256" i="2" s="1" a="1"/>
  <c r="C256" i="2" s="1"/>
  <c r="BJ12" i="1" a="1"/>
  <c r="BJ12" i="1" s="1"/>
  <c r="BK12" i="1" a="1"/>
  <c r="BK12" i="1" s="1"/>
  <c r="BL12" i="1" a="1"/>
  <c r="BL12" i="1" s="1"/>
  <c r="BM12" i="1" a="1"/>
  <c r="BM12" i="1" s="1"/>
  <c r="BN12" i="1" a="1"/>
  <c r="BN12" i="1" s="1"/>
  <c r="BO12" i="1" a="1"/>
  <c r="BO12" i="1" s="1"/>
  <c r="BP12" i="1" a="1"/>
  <c r="BP12" i="1" s="1"/>
  <c r="BQ12" i="1" a="1"/>
  <c r="BQ12" i="1" s="1"/>
  <c r="BR12" i="1" a="1"/>
  <c r="BR12" i="1" s="1"/>
  <c r="BS12" i="1" a="1"/>
  <c r="BS12" i="1" s="1"/>
  <c r="BT12" i="1" a="1"/>
  <c r="BT12" i="1" s="1"/>
  <c r="BU12" i="1" a="1"/>
  <c r="BU12" i="1" s="1"/>
  <c r="BV12" i="1" a="1"/>
  <c r="BV12" i="1" s="1"/>
  <c r="BW12" i="1" a="1"/>
  <c r="BW12" i="1" s="1"/>
  <c r="AU13" i="1" a="1"/>
  <c r="AU13" i="1" s="1"/>
  <c r="AV13" i="1" a="1"/>
  <c r="AV13" i="1" s="1"/>
  <c r="AW13" i="1" a="1"/>
  <c r="AW13" i="1" s="1"/>
  <c r="AX13" i="1" a="1"/>
  <c r="AX13" i="1" s="1"/>
  <c r="AY13" i="1" a="1"/>
  <c r="AY13" i="1" s="1"/>
  <c r="AZ13" i="1" a="1"/>
  <c r="AZ13" i="1" s="1"/>
  <c r="BA13" i="1" a="1"/>
  <c r="BA13" i="1" s="1"/>
  <c r="BB13" i="1" a="1"/>
  <c r="BB13" i="1" s="1"/>
  <c r="BC13" i="1" a="1"/>
  <c r="BC13" i="1" s="1"/>
  <c r="BD13" i="1" a="1"/>
  <c r="BD13" i="1" s="1"/>
  <c r="BE13" i="1" a="1"/>
  <c r="BE13" i="1" s="1"/>
  <c r="BF13" i="1" a="1"/>
  <c r="BF13" i="1" s="1"/>
  <c r="BG13" i="1" a="1"/>
  <c r="BG13" i="1" s="1"/>
  <c r="BH13" i="1" a="1"/>
  <c r="BH13" i="1" s="1"/>
  <c r="BI13" i="1" a="1"/>
  <c r="BI13" i="1" s="1"/>
  <c r="BJ13" i="1" a="1"/>
  <c r="BJ13" i="1" s="1"/>
  <c r="C287" i="2" s="1" a="1"/>
  <c r="C287" i="2" s="1"/>
  <c r="BK13" i="1" a="1"/>
  <c r="BK13" i="1" s="1"/>
  <c r="C288" i="2" s="1" a="1"/>
  <c r="C288" i="2" s="1"/>
  <c r="BL13" i="1" a="1"/>
  <c r="BL13" i="1" s="1"/>
  <c r="BM13" i="1" a="1"/>
  <c r="BM13" i="1" s="1"/>
  <c r="BN13" i="1" a="1"/>
  <c r="BN13" i="1" s="1"/>
  <c r="BO13" i="1" a="1"/>
  <c r="BO13" i="1" s="1"/>
  <c r="BP13" i="1" a="1"/>
  <c r="BP13" i="1" s="1"/>
  <c r="BQ13" i="1" a="1"/>
  <c r="BQ13" i="1" s="1"/>
  <c r="BR13" i="1" a="1"/>
  <c r="BR13" i="1" s="1"/>
  <c r="BS13" i="1" a="1"/>
  <c r="BS13" i="1" s="1"/>
  <c r="BT13" i="1" a="1"/>
  <c r="BT13" i="1" s="1"/>
  <c r="BU13" i="1" a="1"/>
  <c r="BU13" i="1" s="1"/>
  <c r="BV13" i="1" a="1"/>
  <c r="BV13" i="1" s="1"/>
  <c r="BW13" i="1" a="1"/>
  <c r="BW13" i="1" s="1"/>
  <c r="AU14" i="1" a="1"/>
  <c r="AU14" i="1" s="1"/>
  <c r="AV14" i="1" a="1"/>
  <c r="AV14" i="1" s="1"/>
  <c r="AW14" i="1" a="1"/>
  <c r="AW14" i="1" s="1"/>
  <c r="AX14" i="1" a="1"/>
  <c r="AX14" i="1" s="1"/>
  <c r="AY14" i="1" a="1"/>
  <c r="AY14" i="1" s="1"/>
  <c r="AZ14" i="1" a="1"/>
  <c r="AZ14" i="1" s="1"/>
  <c r="BA14" i="1" a="1"/>
  <c r="BA14" i="1" s="1"/>
  <c r="BB14" i="1" a="1"/>
  <c r="BB14" i="1" s="1"/>
  <c r="BC14" i="1" a="1"/>
  <c r="BC14" i="1" s="1"/>
  <c r="BD14" i="1" a="1"/>
  <c r="BD14" i="1" s="1"/>
  <c r="BE14" i="1" a="1"/>
  <c r="BE14" i="1" s="1"/>
  <c r="BF14" i="1" a="1"/>
  <c r="BF14" i="1" s="1"/>
  <c r="BG14" i="1" a="1"/>
  <c r="BG14" i="1" s="1"/>
  <c r="BH14" i="1" a="1"/>
  <c r="BH14" i="1" s="1"/>
  <c r="BI14" i="1" a="1"/>
  <c r="BI14" i="1" s="1"/>
  <c r="BJ14" i="1" a="1"/>
  <c r="BJ14" i="1" s="1"/>
  <c r="BK14" i="1" a="1"/>
  <c r="BK14" i="1" s="1"/>
  <c r="BL14" i="1" a="1"/>
  <c r="BL14" i="1" s="1"/>
  <c r="C319" i="2" s="1" a="1"/>
  <c r="C319" i="2" s="1"/>
  <c r="BM14" i="1" a="1"/>
  <c r="BM14" i="1" s="1"/>
  <c r="C320" i="2" s="1" a="1"/>
  <c r="C320" i="2" s="1"/>
  <c r="BN14" i="1" a="1"/>
  <c r="BN14" i="1" s="1"/>
  <c r="BO14" i="1" a="1"/>
  <c r="BO14" i="1" s="1"/>
  <c r="BP14" i="1" a="1"/>
  <c r="BP14" i="1" s="1"/>
  <c r="BQ14" i="1" a="1"/>
  <c r="BQ14" i="1" s="1"/>
  <c r="BR14" i="1" a="1"/>
  <c r="BR14" i="1" s="1"/>
  <c r="BS14" i="1" a="1"/>
  <c r="BS14" i="1" s="1"/>
  <c r="BT14" i="1" a="1"/>
  <c r="BT14" i="1" s="1"/>
  <c r="BU14" i="1" a="1"/>
  <c r="BU14" i="1" s="1"/>
  <c r="BV14" i="1" a="1"/>
  <c r="BV14" i="1" s="1"/>
  <c r="BW14" i="1" a="1"/>
  <c r="BW14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C361" i="2" s="1" a="1"/>
  <c r="C361" i="2" s="1"/>
  <c r="BC15" i="1" a="1"/>
  <c r="BC15" i="1" s="1"/>
  <c r="BD15" i="1" a="1"/>
  <c r="BD15" i="1" s="1"/>
  <c r="BE15" i="1" a="1"/>
  <c r="BE15" i="1" s="1"/>
  <c r="BF15" i="1" a="1"/>
  <c r="BF15" i="1" s="1"/>
  <c r="BG15" i="1" a="1"/>
  <c r="BG15" i="1" s="1"/>
  <c r="BH15" i="1" a="1"/>
  <c r="BH15" i="1" s="1"/>
  <c r="BI15" i="1" a="1"/>
  <c r="BI15" i="1" s="1"/>
  <c r="BJ15" i="1" a="1"/>
  <c r="BJ15" i="1" s="1"/>
  <c r="BK15" i="1" a="1"/>
  <c r="BK15" i="1" s="1"/>
  <c r="BL15" i="1" a="1"/>
  <c r="BL15" i="1" s="1"/>
  <c r="BM15" i="1" a="1"/>
  <c r="BM15" i="1" s="1"/>
  <c r="BN15" i="1" a="1"/>
  <c r="BN15" i="1" s="1"/>
  <c r="C351" i="2" s="1" a="1"/>
  <c r="C351" i="2" s="1"/>
  <c r="BO15" i="1" a="1"/>
  <c r="BO15" i="1" s="1"/>
  <c r="C352" i="2" s="1" a="1"/>
  <c r="C352" i="2" s="1"/>
  <c r="BP15" i="1" a="1"/>
  <c r="BP15" i="1" s="1"/>
  <c r="BQ15" i="1" a="1"/>
  <c r="BQ15" i="1" s="1"/>
  <c r="BR15" i="1" a="1"/>
  <c r="BR15" i="1" s="1"/>
  <c r="BS15" i="1" a="1"/>
  <c r="BS15" i="1" s="1"/>
  <c r="BT15" i="1" a="1"/>
  <c r="BT15" i="1" s="1"/>
  <c r="BU15" i="1" a="1"/>
  <c r="BU15" i="1" s="1"/>
  <c r="BV15" i="1" a="1"/>
  <c r="BV15" i="1" s="1"/>
  <c r="BW15" i="1" a="1"/>
  <c r="BW15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BH16" i="1" a="1"/>
  <c r="BH16" i="1" s="1"/>
  <c r="BI16" i="1" a="1"/>
  <c r="BI16" i="1" s="1"/>
  <c r="BJ16" i="1" a="1"/>
  <c r="BJ16" i="1" s="1"/>
  <c r="BK16" i="1" a="1"/>
  <c r="BK16" i="1" s="1"/>
  <c r="BL16" i="1" a="1"/>
  <c r="BL16" i="1" s="1"/>
  <c r="BM16" i="1" a="1"/>
  <c r="BM16" i="1" s="1"/>
  <c r="BN16" i="1" a="1"/>
  <c r="BN16" i="1" s="1"/>
  <c r="BO16" i="1" a="1"/>
  <c r="BO16" i="1" s="1"/>
  <c r="BP16" i="1" a="1"/>
  <c r="BP16" i="1" s="1"/>
  <c r="C383" i="2" s="1" a="1"/>
  <c r="C383" i="2" s="1"/>
  <c r="BQ16" i="1" a="1"/>
  <c r="BQ16" i="1" s="1"/>
  <c r="C384" i="2" s="1" a="1"/>
  <c r="C384" i="2" s="1"/>
  <c r="BR16" i="1" a="1"/>
  <c r="BR16" i="1" s="1"/>
  <c r="BS16" i="1" a="1"/>
  <c r="BS16" i="1" s="1"/>
  <c r="BT16" i="1" a="1"/>
  <c r="BT16" i="1" s="1"/>
  <c r="BU16" i="1" a="1"/>
  <c r="BU16" i="1" s="1"/>
  <c r="BV16" i="1" a="1"/>
  <c r="BV16" i="1" s="1"/>
  <c r="BW16" i="1" a="1"/>
  <c r="BW16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BH17" i="1" a="1"/>
  <c r="BH17" i="1" s="1"/>
  <c r="BI17" i="1" a="1"/>
  <c r="BI17" i="1" s="1"/>
  <c r="BJ17" i="1" a="1"/>
  <c r="BJ17" i="1" s="1"/>
  <c r="BK17" i="1" a="1"/>
  <c r="BK17" i="1" s="1"/>
  <c r="BL17" i="1" a="1"/>
  <c r="BL17" i="1" s="1"/>
  <c r="BM17" i="1" a="1"/>
  <c r="BM17" i="1" s="1"/>
  <c r="BN17" i="1" a="1"/>
  <c r="BN17" i="1" s="1"/>
  <c r="BO17" i="1" a="1"/>
  <c r="BO17" i="1" s="1"/>
  <c r="BP17" i="1" a="1"/>
  <c r="BP17" i="1" s="1"/>
  <c r="BQ17" i="1" a="1"/>
  <c r="BQ17" i="1" s="1"/>
  <c r="BR17" i="1" a="1"/>
  <c r="BR17" i="1" s="1"/>
  <c r="C415" i="2" s="1" a="1"/>
  <c r="C415" i="2" s="1"/>
  <c r="BS17" i="1" a="1"/>
  <c r="BS17" i="1" s="1"/>
  <c r="C416" i="2" s="1" a="1"/>
  <c r="C416" i="2" s="1"/>
  <c r="BT17" i="1" a="1"/>
  <c r="BT17" i="1" s="1"/>
  <c r="BU17" i="1" a="1"/>
  <c r="BU17" i="1" s="1"/>
  <c r="BV17" i="1" a="1"/>
  <c r="BV17" i="1" s="1"/>
  <c r="BW17" i="1" a="1"/>
  <c r="BW17" i="1" s="1"/>
  <c r="AU18" i="1" a="1"/>
  <c r="AU18" i="1" s="1"/>
  <c r="AV18" i="1" a="1"/>
  <c r="AV18" i="1" s="1"/>
  <c r="C451" i="2" s="1" a="1"/>
  <c r="C451" i="2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BG18" i="1" a="1"/>
  <c r="BG18" i="1" s="1"/>
  <c r="BH18" i="1" a="1"/>
  <c r="BH18" i="1" s="1"/>
  <c r="BI18" i="1" a="1"/>
  <c r="BI18" i="1" s="1"/>
  <c r="BJ18" i="1" a="1"/>
  <c r="BJ18" i="1" s="1"/>
  <c r="BK18" i="1" a="1"/>
  <c r="BK18" i="1" s="1"/>
  <c r="BL18" i="1" a="1"/>
  <c r="BL18" i="1" s="1"/>
  <c r="BM18" i="1" a="1"/>
  <c r="BM18" i="1" s="1"/>
  <c r="BN18" i="1" a="1"/>
  <c r="BN18" i="1" s="1"/>
  <c r="BO18" i="1" a="1"/>
  <c r="BO18" i="1" s="1"/>
  <c r="BP18" i="1" a="1"/>
  <c r="BP18" i="1" s="1"/>
  <c r="BQ18" i="1" a="1"/>
  <c r="BQ18" i="1" s="1"/>
  <c r="BR18" i="1" a="1"/>
  <c r="BR18" i="1" s="1"/>
  <c r="BS18" i="1" a="1"/>
  <c r="BS18" i="1" s="1"/>
  <c r="BT18" i="1" a="1"/>
  <c r="BT18" i="1" s="1"/>
  <c r="BU18" i="1" a="1"/>
  <c r="BU18" i="1" s="1"/>
  <c r="BV18" i="1" a="1"/>
  <c r="BV18" i="1" s="1"/>
  <c r="BW18" i="1" a="1"/>
  <c r="BW18" i="1" s="1"/>
  <c r="AU19" i="1" a="1"/>
  <c r="AU19" i="1" s="1"/>
  <c r="AV19" i="1" a="1"/>
  <c r="AV19" i="1" s="1"/>
  <c r="AW19" i="1" a="1"/>
  <c r="AW19" i="1" s="1"/>
  <c r="AX19" i="1" a="1"/>
  <c r="AX19" i="1" s="1"/>
  <c r="AY19" i="1" a="1"/>
  <c r="AY19" i="1" s="1"/>
  <c r="AZ19" i="1" a="1"/>
  <c r="AZ19" i="1" s="1"/>
  <c r="BA19" i="1" a="1"/>
  <c r="BA19" i="1" s="1"/>
  <c r="BB19" i="1" a="1"/>
  <c r="BB19" i="1" s="1"/>
  <c r="BC19" i="1" a="1"/>
  <c r="BC19" i="1" s="1"/>
  <c r="BD19" i="1" a="1"/>
  <c r="BD19" i="1" s="1"/>
  <c r="BE19" i="1" a="1"/>
  <c r="BE19" i="1" s="1"/>
  <c r="BF19" i="1" a="1"/>
  <c r="BF19" i="1" s="1"/>
  <c r="BG19" i="1" a="1"/>
  <c r="BG19" i="1" s="1"/>
  <c r="BH19" i="1" a="1"/>
  <c r="BH19" i="1" s="1"/>
  <c r="BI19" i="1" a="1"/>
  <c r="BI19" i="1" s="1"/>
  <c r="BJ19" i="1" a="1"/>
  <c r="BJ19" i="1" s="1"/>
  <c r="BK19" i="1" a="1"/>
  <c r="BK19" i="1" s="1"/>
  <c r="BL19" i="1" a="1"/>
  <c r="BL19" i="1" s="1"/>
  <c r="BM19" i="1" a="1"/>
  <c r="BM19" i="1" s="1"/>
  <c r="BN19" i="1" a="1"/>
  <c r="BN19" i="1" s="1"/>
  <c r="BO19" i="1" a="1"/>
  <c r="BO19" i="1" s="1"/>
  <c r="BP19" i="1" a="1"/>
  <c r="BP19" i="1" s="1"/>
  <c r="BQ19" i="1" a="1"/>
  <c r="BQ19" i="1" s="1"/>
  <c r="BR19" i="1" a="1"/>
  <c r="BR19" i="1" s="1"/>
  <c r="BS19" i="1" a="1"/>
  <c r="BS19" i="1" s="1"/>
  <c r="BT19" i="1" a="1"/>
  <c r="BT19" i="1" s="1"/>
  <c r="BU19" i="1" a="1"/>
  <c r="BU19" i="1" s="1"/>
  <c r="BV19" i="1" a="1"/>
  <c r="BV19" i="1" s="1"/>
  <c r="C479" i="2" s="1" a="1"/>
  <c r="C479" i="2" s="1"/>
  <c r="BW19" i="1" a="1"/>
  <c r="BW19" i="1" s="1"/>
  <c r="C480" i="2" s="1" a="1"/>
  <c r="C480" i="2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BG20" i="1" a="1"/>
  <c r="BG20" i="1" s="1"/>
  <c r="BH20" i="1" a="1"/>
  <c r="BH20" i="1" s="1"/>
  <c r="BI20" i="1" a="1"/>
  <c r="BI20" i="1" s="1"/>
  <c r="BJ20" i="1" a="1"/>
  <c r="BJ20" i="1" s="1"/>
  <c r="BK20" i="1" a="1"/>
  <c r="BK20" i="1" s="1"/>
  <c r="BL20" i="1" a="1"/>
  <c r="BL20" i="1" s="1"/>
  <c r="BM20" i="1" a="1"/>
  <c r="BM20" i="1" s="1"/>
  <c r="BN20" i="1" a="1"/>
  <c r="BN20" i="1" s="1"/>
  <c r="BO20" i="1" a="1"/>
  <c r="BO20" i="1" s="1"/>
  <c r="BP20" i="1" a="1"/>
  <c r="BP20" i="1" s="1"/>
  <c r="BQ20" i="1" a="1"/>
  <c r="BQ20" i="1" s="1"/>
  <c r="BR20" i="1" a="1"/>
  <c r="BR20" i="1" s="1"/>
  <c r="BS20" i="1" a="1"/>
  <c r="BS20" i="1" s="1"/>
  <c r="BT20" i="1" a="1"/>
  <c r="BT20" i="1" s="1"/>
  <c r="BU20" i="1" a="1"/>
  <c r="BU20" i="1" s="1"/>
  <c r="BV20" i="1" a="1"/>
  <c r="BV20" i="1" s="1"/>
  <c r="BW20" i="1" a="1"/>
  <c r="BW20" i="1" s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A21" i="1" a="1"/>
  <c r="BA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BG21" i="1" a="1"/>
  <c r="BG21" i="1" s="1"/>
  <c r="BH21" i="1" a="1"/>
  <c r="BH21" i="1" s="1"/>
  <c r="BI21" i="1" a="1"/>
  <c r="BI21" i="1" s="1"/>
  <c r="BJ21" i="1" a="1"/>
  <c r="BJ21" i="1" s="1"/>
  <c r="BK21" i="1" a="1"/>
  <c r="BK21" i="1" s="1"/>
  <c r="BL21" i="1" a="1"/>
  <c r="BL21" i="1" s="1"/>
  <c r="BM21" i="1" a="1"/>
  <c r="BM21" i="1" s="1"/>
  <c r="BN21" i="1" a="1"/>
  <c r="BN21" i="1" s="1"/>
  <c r="BO21" i="1" a="1"/>
  <c r="BO21" i="1" s="1"/>
  <c r="BP21" i="1" a="1"/>
  <c r="BP21" i="1" s="1"/>
  <c r="BQ21" i="1" a="1"/>
  <c r="BQ21" i="1" s="1"/>
  <c r="BR21" i="1" a="1"/>
  <c r="BR21" i="1" s="1"/>
  <c r="BS21" i="1" a="1"/>
  <c r="BS21" i="1" s="1"/>
  <c r="BT21" i="1" a="1"/>
  <c r="BT21" i="1" s="1"/>
  <c r="BU21" i="1" a="1"/>
  <c r="BU21" i="1" s="1"/>
  <c r="BV21" i="1" a="1"/>
  <c r="BV21" i="1" s="1"/>
  <c r="BW21" i="1" a="1"/>
  <c r="BW21" i="1" s="1"/>
  <c r="AU22" i="1" a="1"/>
  <c r="AU22" i="1" s="1"/>
  <c r="AV22" i="1" a="1"/>
  <c r="AV22" i="1" s="1"/>
  <c r="C543" i="2" s="1" a="1"/>
  <c r="C543" i="2" s="1"/>
  <c r="AW22" i="1" a="1"/>
  <c r="AW22" i="1" s="1"/>
  <c r="C544" i="2" s="1" a="1"/>
  <c r="C544" i="2" s="1"/>
  <c r="AX22" i="1" a="1"/>
  <c r="AX22" i="1" s="1"/>
  <c r="AY22" i="1" a="1"/>
  <c r="AY22" i="1" s="1"/>
  <c r="AZ22" i="1" a="1"/>
  <c r="AZ22" i="1" s="1"/>
  <c r="BA22" i="1" a="1"/>
  <c r="BA22" i="1" s="1"/>
  <c r="BB22" i="1" a="1"/>
  <c r="BB22" i="1" s="1"/>
  <c r="BC22" i="1" a="1"/>
  <c r="BC22" i="1" s="1"/>
  <c r="BD22" i="1" a="1"/>
  <c r="BD22" i="1" s="1"/>
  <c r="BE22" i="1" a="1"/>
  <c r="BE22" i="1" s="1"/>
  <c r="BF22" i="1" a="1"/>
  <c r="BF22" i="1" s="1"/>
  <c r="BG22" i="1" a="1"/>
  <c r="BG22" i="1" s="1"/>
  <c r="BH22" i="1" a="1"/>
  <c r="BH22" i="1" s="1"/>
  <c r="BI22" i="1" a="1"/>
  <c r="BI22" i="1" s="1"/>
  <c r="BJ22" i="1" a="1"/>
  <c r="BJ22" i="1" s="1"/>
  <c r="BK22" i="1" a="1"/>
  <c r="BK22" i="1" s="1"/>
  <c r="BL22" i="1" a="1"/>
  <c r="BL22" i="1" s="1"/>
  <c r="BM22" i="1" a="1"/>
  <c r="BM22" i="1" s="1"/>
  <c r="BN22" i="1" a="1"/>
  <c r="BN22" i="1" s="1"/>
  <c r="BO22" i="1" a="1"/>
  <c r="BO22" i="1" s="1"/>
  <c r="BP22" i="1" a="1"/>
  <c r="BP22" i="1" s="1"/>
  <c r="BQ22" i="1" a="1"/>
  <c r="BQ22" i="1" s="1"/>
  <c r="BR22" i="1" a="1"/>
  <c r="BR22" i="1" s="1"/>
  <c r="C601" i="2" s="1" a="1"/>
  <c r="C601" i="2" s="1"/>
  <c r="BS22" i="1" a="1"/>
  <c r="BS22" i="1" s="1"/>
  <c r="BT22" i="1" a="1"/>
  <c r="BT22" i="1" s="1"/>
  <c r="BU22" i="1" a="1"/>
  <c r="BU22" i="1" s="1"/>
  <c r="BV22" i="1" a="1"/>
  <c r="BV22" i="1" s="1"/>
  <c r="BW22" i="1" a="1"/>
  <c r="BW22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BG23" i="1" a="1"/>
  <c r="BG23" i="1" s="1"/>
  <c r="BH23" i="1" a="1"/>
  <c r="BH23" i="1" s="1"/>
  <c r="BI23" i="1" a="1"/>
  <c r="BI23" i="1" s="1"/>
  <c r="BJ23" i="1" a="1"/>
  <c r="BJ23" i="1" s="1"/>
  <c r="BK23" i="1" a="1"/>
  <c r="BK23" i="1" s="1"/>
  <c r="BL23" i="1" a="1"/>
  <c r="BL23" i="1" s="1"/>
  <c r="BM23" i="1" a="1"/>
  <c r="BM23" i="1" s="1"/>
  <c r="BN23" i="1" a="1"/>
  <c r="BN23" i="1" s="1"/>
  <c r="BO23" i="1" a="1"/>
  <c r="BO23" i="1" s="1"/>
  <c r="BP23" i="1" a="1"/>
  <c r="BP23" i="1" s="1"/>
  <c r="C631" i="2" s="1" a="1"/>
  <c r="C631" i="2" s="1"/>
  <c r="BQ23" i="1" a="1"/>
  <c r="BQ23" i="1" s="1"/>
  <c r="BR23" i="1" a="1"/>
  <c r="BR23" i="1" s="1"/>
  <c r="BS23" i="1" a="1"/>
  <c r="BS23" i="1" s="1"/>
  <c r="BT23" i="1" a="1"/>
  <c r="BT23" i="1" s="1"/>
  <c r="BU23" i="1" a="1"/>
  <c r="BU23" i="1" s="1"/>
  <c r="BV23" i="1" a="1"/>
  <c r="BV23" i="1" s="1"/>
  <c r="BW23" i="1" a="1"/>
  <c r="BW23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C607" i="2" s="1" a="1"/>
  <c r="C607" i="2" s="1"/>
  <c r="BA24" i="1" a="1"/>
  <c r="BA24" i="1" s="1"/>
  <c r="C608" i="2" s="1" a="1"/>
  <c r="C608" i="2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BG24" i="1" a="1"/>
  <c r="BG24" i="1" s="1"/>
  <c r="BH24" i="1" a="1"/>
  <c r="BH24" i="1" s="1"/>
  <c r="BI24" i="1" a="1"/>
  <c r="BI24" i="1" s="1"/>
  <c r="BJ24" i="1" a="1"/>
  <c r="BJ24" i="1" s="1"/>
  <c r="BK24" i="1" a="1"/>
  <c r="BK24" i="1" s="1"/>
  <c r="BL24" i="1" a="1"/>
  <c r="BL24" i="1" s="1"/>
  <c r="BM24" i="1" a="1"/>
  <c r="BM24" i="1" s="1"/>
  <c r="BN24" i="1" a="1"/>
  <c r="BN24" i="1" s="1"/>
  <c r="BO24" i="1" a="1"/>
  <c r="BO24" i="1" s="1"/>
  <c r="BP24" i="1" a="1"/>
  <c r="BP24" i="1" s="1"/>
  <c r="BQ24" i="1" a="1"/>
  <c r="BQ24" i="1" s="1"/>
  <c r="BR24" i="1" a="1"/>
  <c r="BR24" i="1" s="1"/>
  <c r="BS24" i="1" a="1"/>
  <c r="BS24" i="1" s="1"/>
  <c r="BT24" i="1" a="1"/>
  <c r="BT24" i="1" s="1"/>
  <c r="BU24" i="1" a="1"/>
  <c r="BU24" i="1" s="1"/>
  <c r="BV24" i="1" a="1"/>
  <c r="BV24" i="1" s="1"/>
  <c r="BW24" i="1" a="1"/>
  <c r="BW24" i="1" s="1"/>
  <c r="AU25" i="1" a="1"/>
  <c r="AU25" i="1" s="1"/>
  <c r="AV25" i="1" a="1"/>
  <c r="AV25" i="1" s="1"/>
  <c r="AW25" i="1" a="1"/>
  <c r="AW25" i="1" s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C639" i="2" s="1" a="1"/>
  <c r="C639" i="2" s="1"/>
  <c r="BC25" i="1" a="1"/>
  <c r="BC25" i="1" s="1"/>
  <c r="C640" i="2" s="1" a="1"/>
  <c r="C640" i="2" s="1"/>
  <c r="BD25" i="1" a="1"/>
  <c r="BD25" i="1" s="1"/>
  <c r="BE25" i="1" a="1"/>
  <c r="BE25" i="1" s="1"/>
  <c r="BF25" i="1" a="1"/>
  <c r="BF25" i="1" s="1"/>
  <c r="BG25" i="1" a="1"/>
  <c r="BG25" i="1" s="1"/>
  <c r="BH25" i="1" a="1"/>
  <c r="BH25" i="1" s="1"/>
  <c r="BI25" i="1" a="1"/>
  <c r="BI25" i="1" s="1"/>
  <c r="BJ25" i="1" a="1"/>
  <c r="BJ25" i="1" s="1"/>
  <c r="BK25" i="1" a="1"/>
  <c r="BK25" i="1" s="1"/>
  <c r="BL25" i="1" a="1"/>
  <c r="BL25" i="1" s="1"/>
  <c r="BM25" i="1" a="1"/>
  <c r="BM25" i="1" s="1"/>
  <c r="BN25" i="1" a="1"/>
  <c r="BN25" i="1" s="1"/>
  <c r="BO25" i="1" a="1"/>
  <c r="BO25" i="1" s="1"/>
  <c r="BP25" i="1" a="1"/>
  <c r="BP25" i="1" s="1"/>
  <c r="BQ25" i="1" a="1"/>
  <c r="BQ25" i="1" s="1"/>
  <c r="BR25" i="1" a="1"/>
  <c r="BR25" i="1" s="1"/>
  <c r="BS25" i="1" a="1"/>
  <c r="BS25" i="1" s="1"/>
  <c r="BT25" i="1" a="1"/>
  <c r="BT25" i="1" s="1"/>
  <c r="BU25" i="1" a="1"/>
  <c r="BU25" i="1" s="1"/>
  <c r="BV25" i="1" a="1"/>
  <c r="BV25" i="1" s="1"/>
  <c r="BW25" i="1" a="1"/>
  <c r="BW25" i="1" s="1"/>
  <c r="AU26" i="1" a="1"/>
  <c r="AU26" i="1" s="1"/>
  <c r="AV26" i="1" a="1"/>
  <c r="AV26" i="1" s="1"/>
  <c r="AW26" i="1" a="1"/>
  <c r="AW26" i="1" s="1"/>
  <c r="AX26" i="1" a="1"/>
  <c r="AX26" i="1" s="1"/>
  <c r="AY26" i="1" a="1"/>
  <c r="AY26" i="1" s="1"/>
  <c r="AZ26" i="1" a="1"/>
  <c r="AZ26" i="1" s="1"/>
  <c r="BA26" i="1" a="1"/>
  <c r="BA26" i="1" s="1"/>
  <c r="BB26" i="1" a="1"/>
  <c r="BB26" i="1" s="1"/>
  <c r="BC26" i="1" a="1"/>
  <c r="BC26" i="1" s="1"/>
  <c r="BD26" i="1" a="1"/>
  <c r="BD26" i="1" s="1"/>
  <c r="C671" i="2" s="1" a="1"/>
  <c r="C671" i="2" s="1"/>
  <c r="BE26" i="1" a="1"/>
  <c r="BE26" i="1" s="1"/>
  <c r="C672" i="2" s="1" a="1"/>
  <c r="C672" i="2" s="1"/>
  <c r="BF26" i="1" a="1"/>
  <c r="BF26" i="1" s="1"/>
  <c r="BG26" i="1" a="1"/>
  <c r="BG26" i="1" s="1"/>
  <c r="BH26" i="1" a="1"/>
  <c r="BH26" i="1" s="1"/>
  <c r="BI26" i="1" a="1"/>
  <c r="BI26" i="1" s="1"/>
  <c r="BJ26" i="1" a="1"/>
  <c r="BJ26" i="1" s="1"/>
  <c r="C721" i="2" s="1" a="1"/>
  <c r="C721" i="2" s="1"/>
  <c r="BK26" i="1" a="1"/>
  <c r="BK26" i="1" s="1"/>
  <c r="BL26" i="1" a="1"/>
  <c r="BL26" i="1" s="1"/>
  <c r="BM26" i="1" a="1"/>
  <c r="BM26" i="1" s="1"/>
  <c r="BN26" i="1" a="1"/>
  <c r="BN26" i="1" s="1"/>
  <c r="BO26" i="1" a="1"/>
  <c r="BO26" i="1" s="1"/>
  <c r="BP26" i="1" a="1"/>
  <c r="BP26" i="1" s="1"/>
  <c r="BQ26" i="1" a="1"/>
  <c r="BQ26" i="1" s="1"/>
  <c r="BR26" i="1" a="1"/>
  <c r="BR26" i="1" s="1"/>
  <c r="BS26" i="1" a="1"/>
  <c r="BS26" i="1" s="1"/>
  <c r="BT26" i="1" a="1"/>
  <c r="BT26" i="1" s="1"/>
  <c r="BU26" i="1" a="1"/>
  <c r="BU26" i="1" s="1"/>
  <c r="BV26" i="1" a="1"/>
  <c r="BV26" i="1" s="1"/>
  <c r="BW26" i="1" a="1"/>
  <c r="BW26" i="1" s="1"/>
  <c r="AU27" i="1" a="1"/>
  <c r="AU27" i="1" s="1"/>
  <c r="AV27" i="1" a="1"/>
  <c r="AV27" i="1" s="1"/>
  <c r="AW27" i="1" a="1"/>
  <c r="AW27" i="1" s="1"/>
  <c r="AX27" i="1" a="1"/>
  <c r="AX27" i="1" s="1"/>
  <c r="AY27" i="1" a="1"/>
  <c r="AY27" i="1" s="1"/>
  <c r="AZ27" i="1" a="1"/>
  <c r="AZ27" i="1" s="1"/>
  <c r="BA27" i="1" a="1"/>
  <c r="BA27" i="1" s="1"/>
  <c r="BB27" i="1" a="1"/>
  <c r="BB27" i="1" s="1"/>
  <c r="BC27" i="1" a="1"/>
  <c r="BC27" i="1" s="1"/>
  <c r="BD27" i="1" a="1"/>
  <c r="BD27" i="1" s="1"/>
  <c r="BE27" i="1" a="1"/>
  <c r="BE27" i="1" s="1"/>
  <c r="BF27" i="1" a="1"/>
  <c r="BF27" i="1" s="1"/>
  <c r="C703" i="2" s="1" a="1"/>
  <c r="C703" i="2" s="1"/>
  <c r="BG27" i="1" a="1"/>
  <c r="BG27" i="1" s="1"/>
  <c r="C704" i="2" s="1" a="1"/>
  <c r="C704" i="2" s="1"/>
  <c r="BH27" i="1" a="1"/>
  <c r="BH27" i="1" s="1"/>
  <c r="C751" i="2" s="1" a="1"/>
  <c r="C751" i="2" s="1"/>
  <c r="BI27" i="1" a="1"/>
  <c r="BI27" i="1" s="1"/>
  <c r="BJ27" i="1" a="1"/>
  <c r="BJ27" i="1" s="1"/>
  <c r="BK27" i="1" a="1"/>
  <c r="BK27" i="1" s="1"/>
  <c r="BL27" i="1" a="1"/>
  <c r="BL27" i="1" s="1"/>
  <c r="BM27" i="1" a="1"/>
  <c r="BM27" i="1" s="1"/>
  <c r="BN27" i="1" a="1"/>
  <c r="BN27" i="1" s="1"/>
  <c r="BO27" i="1" a="1"/>
  <c r="BO27" i="1" s="1"/>
  <c r="BP27" i="1" a="1"/>
  <c r="BP27" i="1" s="1"/>
  <c r="BQ27" i="1" a="1"/>
  <c r="BQ27" i="1" s="1"/>
  <c r="BR27" i="1" a="1"/>
  <c r="BR27" i="1" s="1"/>
  <c r="BS27" i="1" a="1"/>
  <c r="BS27" i="1" s="1"/>
  <c r="BT27" i="1" a="1"/>
  <c r="BT27" i="1" s="1"/>
  <c r="BU27" i="1" a="1"/>
  <c r="BU27" i="1" s="1"/>
  <c r="BV27" i="1" a="1"/>
  <c r="BV27" i="1" s="1"/>
  <c r="BW27" i="1" a="1"/>
  <c r="BW27" i="1" s="1"/>
  <c r="AU28" i="1" a="1"/>
  <c r="AU28" i="1" s="1"/>
  <c r="AV28" i="1" a="1"/>
  <c r="AV28" i="1" s="1"/>
  <c r="AW28" i="1" a="1"/>
  <c r="AW28" i="1" s="1"/>
  <c r="AX28" i="1" a="1"/>
  <c r="AX28" i="1" s="1"/>
  <c r="AY28" i="1" a="1"/>
  <c r="AY28" i="1" s="1"/>
  <c r="AZ28" i="1" a="1"/>
  <c r="AZ28" i="1" s="1"/>
  <c r="BA28" i="1" a="1"/>
  <c r="BA28" i="1" s="1"/>
  <c r="BB28" i="1" a="1"/>
  <c r="BB28" i="1" s="1"/>
  <c r="BC28" i="1" a="1"/>
  <c r="BC28" i="1" s="1"/>
  <c r="BD28" i="1" a="1"/>
  <c r="BD28" i="1" s="1"/>
  <c r="BE28" i="1" a="1"/>
  <c r="BE28" i="1" s="1"/>
  <c r="BF28" i="1" a="1"/>
  <c r="BF28" i="1" s="1"/>
  <c r="BG28" i="1" a="1"/>
  <c r="BG28" i="1" s="1"/>
  <c r="BH28" i="1" a="1"/>
  <c r="BH28" i="1" s="1"/>
  <c r="BI28" i="1" a="1"/>
  <c r="BI28" i="1" s="1"/>
  <c r="BJ28" i="1" a="1"/>
  <c r="BJ28" i="1" s="1"/>
  <c r="BK28" i="1" a="1"/>
  <c r="BK28" i="1" s="1"/>
  <c r="BL28" i="1" a="1"/>
  <c r="BL28" i="1" s="1"/>
  <c r="BM28" i="1" a="1"/>
  <c r="BM28" i="1" s="1"/>
  <c r="BN28" i="1" a="1"/>
  <c r="BN28" i="1" s="1"/>
  <c r="BO28" i="1" a="1"/>
  <c r="BO28" i="1" s="1"/>
  <c r="BP28" i="1" a="1"/>
  <c r="BP28" i="1" s="1"/>
  <c r="BQ28" i="1" a="1"/>
  <c r="BQ28" i="1" s="1"/>
  <c r="BR28" i="1" a="1"/>
  <c r="BR28" i="1" s="1"/>
  <c r="BS28" i="1" a="1"/>
  <c r="BS28" i="1" s="1"/>
  <c r="BT28" i="1" a="1"/>
  <c r="BT28" i="1" s="1"/>
  <c r="BU28" i="1" a="1"/>
  <c r="BU28" i="1" s="1"/>
  <c r="BV28" i="1" a="1"/>
  <c r="BV28" i="1" s="1"/>
  <c r="BW28" i="1" a="1"/>
  <c r="BW28" i="1" s="1"/>
  <c r="AU29" i="1" a="1"/>
  <c r="AU29" i="1" s="1"/>
  <c r="AV29" i="1" a="1"/>
  <c r="AV29" i="1" s="1"/>
  <c r="AW29" i="1" a="1"/>
  <c r="AW29" i="1" s="1"/>
  <c r="AX29" i="1" a="1"/>
  <c r="AX29" i="1" s="1"/>
  <c r="AY29" i="1" a="1"/>
  <c r="AY29" i="1" s="1"/>
  <c r="AZ29" i="1" a="1"/>
  <c r="AZ29" i="1" s="1"/>
  <c r="BA29" i="1" a="1"/>
  <c r="BA29" i="1" s="1"/>
  <c r="BB29" i="1" a="1"/>
  <c r="BB29" i="1" s="1"/>
  <c r="BC29" i="1" a="1"/>
  <c r="BC29" i="1" s="1"/>
  <c r="BD29" i="1" a="1"/>
  <c r="BD29" i="1" s="1"/>
  <c r="BE29" i="1" a="1"/>
  <c r="BE29" i="1" s="1"/>
  <c r="BF29" i="1" a="1"/>
  <c r="BF29" i="1" s="1"/>
  <c r="BG29" i="1" a="1"/>
  <c r="BG29" i="1" s="1"/>
  <c r="BH29" i="1" a="1"/>
  <c r="BH29" i="1" s="1"/>
  <c r="BI29" i="1" a="1"/>
  <c r="BI29" i="1" s="1"/>
  <c r="BJ29" i="1" a="1"/>
  <c r="BJ29" i="1" s="1"/>
  <c r="C767" i="2" s="1" a="1"/>
  <c r="C767" i="2" s="1"/>
  <c r="BK29" i="1" a="1"/>
  <c r="BK29" i="1" s="1"/>
  <c r="C768" i="2" s="1" a="1"/>
  <c r="C768" i="2" s="1"/>
  <c r="BL29" i="1" a="1"/>
  <c r="BL29" i="1" s="1"/>
  <c r="BM29" i="1" a="1"/>
  <c r="BM29" i="1" s="1"/>
  <c r="BN29" i="1" a="1"/>
  <c r="BN29" i="1" s="1"/>
  <c r="BO29" i="1" a="1"/>
  <c r="BO29" i="1" s="1"/>
  <c r="BP29" i="1" a="1"/>
  <c r="BP29" i="1" s="1"/>
  <c r="BQ29" i="1" a="1"/>
  <c r="BQ29" i="1" s="1"/>
  <c r="BR29" i="1" a="1"/>
  <c r="BR29" i="1" s="1"/>
  <c r="BS29" i="1" a="1"/>
  <c r="BS29" i="1" s="1"/>
  <c r="BT29" i="1" a="1"/>
  <c r="BT29" i="1" s="1"/>
  <c r="BU29" i="1" a="1"/>
  <c r="BU29" i="1" s="1"/>
  <c r="BV29" i="1" a="1"/>
  <c r="BV29" i="1" s="1"/>
  <c r="BW29" i="1" a="1"/>
  <c r="BW29" i="1" s="1"/>
  <c r="AU30" i="1" a="1"/>
  <c r="AU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BA30" i="1" a="1"/>
  <c r="BA30" i="1" s="1"/>
  <c r="BB30" i="1" a="1"/>
  <c r="BB30" i="1" s="1"/>
  <c r="C841" i="2" s="1" a="1"/>
  <c r="C841" i="2" s="1"/>
  <c r="BC30" i="1" a="1"/>
  <c r="BC30" i="1" s="1"/>
  <c r="BD30" i="1" a="1"/>
  <c r="BD30" i="1" s="1"/>
  <c r="BE30" i="1" a="1"/>
  <c r="BE30" i="1" s="1"/>
  <c r="BF30" i="1" a="1"/>
  <c r="BF30" i="1" s="1"/>
  <c r="BG30" i="1" a="1"/>
  <c r="BG30" i="1" s="1"/>
  <c r="BH30" i="1" a="1"/>
  <c r="BH30" i="1" s="1"/>
  <c r="BI30" i="1" a="1"/>
  <c r="BI30" i="1" s="1"/>
  <c r="BJ30" i="1" a="1"/>
  <c r="BJ30" i="1" s="1"/>
  <c r="BK30" i="1" a="1"/>
  <c r="BK30" i="1" s="1"/>
  <c r="BL30" i="1" a="1"/>
  <c r="BL30" i="1" s="1"/>
  <c r="BM30" i="1" a="1"/>
  <c r="BM30" i="1" s="1"/>
  <c r="BN30" i="1" a="1"/>
  <c r="BN30" i="1" s="1"/>
  <c r="BO30" i="1" a="1"/>
  <c r="BO30" i="1" s="1"/>
  <c r="BP30" i="1" a="1"/>
  <c r="BP30" i="1" s="1"/>
  <c r="BQ30" i="1" a="1"/>
  <c r="BQ30" i="1" s="1"/>
  <c r="BR30" i="1" a="1"/>
  <c r="BR30" i="1" s="1"/>
  <c r="BS30" i="1" a="1"/>
  <c r="BS30" i="1" s="1"/>
  <c r="BT30" i="1" a="1"/>
  <c r="BT30" i="1" s="1"/>
  <c r="BU30" i="1" a="1"/>
  <c r="BU30" i="1" s="1"/>
  <c r="BV30" i="1" a="1"/>
  <c r="BV30" i="1" s="1"/>
  <c r="BW30" i="1" a="1"/>
  <c r="BW30" i="1" s="1"/>
  <c r="AU31" i="1" a="1"/>
  <c r="AU31" i="1" s="1"/>
  <c r="AV31" i="1" a="1"/>
  <c r="AV31" i="1" s="1"/>
  <c r="AW31" i="1" a="1"/>
  <c r="AW31" i="1" s="1"/>
  <c r="AX31" i="1" a="1"/>
  <c r="AX31" i="1" s="1"/>
  <c r="AY31" i="1" a="1"/>
  <c r="AY31" i="1" s="1"/>
  <c r="AZ31" i="1" a="1"/>
  <c r="AZ31" i="1" s="1"/>
  <c r="C871" i="2" s="1" a="1"/>
  <c r="C871" i="2" s="1"/>
  <c r="BA31" i="1" a="1"/>
  <c r="BA31" i="1" s="1"/>
  <c r="BB31" i="1" a="1"/>
  <c r="BB31" i="1" s="1"/>
  <c r="BC31" i="1" a="1"/>
  <c r="BC31" i="1" s="1"/>
  <c r="BD31" i="1" a="1"/>
  <c r="BD31" i="1" s="1"/>
  <c r="BE31" i="1" a="1"/>
  <c r="BE31" i="1" s="1"/>
  <c r="BF31" i="1" a="1"/>
  <c r="BF31" i="1" s="1"/>
  <c r="BG31" i="1" a="1"/>
  <c r="BG31" i="1" s="1"/>
  <c r="BH31" i="1" a="1"/>
  <c r="BH31" i="1" s="1"/>
  <c r="BI31" i="1" a="1"/>
  <c r="BI31" i="1" s="1"/>
  <c r="BJ31" i="1" a="1"/>
  <c r="BJ31" i="1" s="1"/>
  <c r="BK31" i="1" a="1"/>
  <c r="BK31" i="1" s="1"/>
  <c r="BL31" i="1" a="1"/>
  <c r="BL31" i="1" s="1"/>
  <c r="BM31" i="1" a="1"/>
  <c r="BM31" i="1" s="1"/>
  <c r="BN31" i="1" a="1"/>
  <c r="BN31" i="1" s="1"/>
  <c r="BO31" i="1" a="1"/>
  <c r="BO31" i="1" s="1"/>
  <c r="C832" i="2" s="1" a="1"/>
  <c r="C832" i="2" s="1"/>
  <c r="BP31" i="1" a="1"/>
  <c r="BP31" i="1" s="1"/>
  <c r="BQ31" i="1" a="1"/>
  <c r="BQ31" i="1" s="1"/>
  <c r="BR31" i="1" a="1"/>
  <c r="BR31" i="1" s="1"/>
  <c r="BS31" i="1" a="1"/>
  <c r="BS31" i="1" s="1"/>
  <c r="BT31" i="1" a="1"/>
  <c r="BT31" i="1" s="1"/>
  <c r="BU31" i="1" a="1"/>
  <c r="BU31" i="1" s="1"/>
  <c r="BV31" i="1" a="1"/>
  <c r="BV31" i="1" s="1"/>
  <c r="BW31" i="1" a="1"/>
  <c r="BW31" i="1" s="1"/>
  <c r="AU32" i="1" a="1"/>
  <c r="AU32" i="1" s="1"/>
  <c r="AV32" i="1" a="1"/>
  <c r="AV32" i="1" s="1"/>
  <c r="AW32" i="1" a="1"/>
  <c r="AW32" i="1" s="1"/>
  <c r="AX32" i="1" a="1"/>
  <c r="AX32" i="1" s="1"/>
  <c r="C901" i="2" s="1" a="1"/>
  <c r="C901" i="2" s="1"/>
  <c r="AY32" i="1" a="1"/>
  <c r="AY32" i="1" s="1"/>
  <c r="C902" i="2" s="1" a="1"/>
  <c r="C902" i="2" s="1"/>
  <c r="AZ32" i="1" a="1"/>
  <c r="AZ32" i="1" s="1"/>
  <c r="C903" i="2" s="1" a="1"/>
  <c r="C903" i="2" s="1"/>
  <c r="BA32" i="1" a="1"/>
  <c r="BA32" i="1" s="1"/>
  <c r="C904" i="2" s="1" a="1"/>
  <c r="C904" i="2" s="1"/>
  <c r="BB32" i="1" a="1"/>
  <c r="BB32" i="1" s="1"/>
  <c r="C905" i="2" s="1" a="1"/>
  <c r="C905" i="2" s="1"/>
  <c r="BC32" i="1" a="1"/>
  <c r="BC32" i="1" s="1"/>
  <c r="C906" i="2" s="1" a="1"/>
  <c r="C906" i="2" s="1"/>
  <c r="BD32" i="1" a="1"/>
  <c r="BD32" i="1" s="1"/>
  <c r="C907" i="2" s="1" a="1"/>
  <c r="C907" i="2" s="1"/>
  <c r="BE32" i="1" a="1"/>
  <c r="BE32" i="1" s="1"/>
  <c r="C908" i="2" s="1" a="1"/>
  <c r="C908" i="2" s="1"/>
  <c r="BF32" i="1" a="1"/>
  <c r="BF32" i="1" s="1"/>
  <c r="C909" i="2" s="1" a="1"/>
  <c r="C909" i="2" s="1"/>
  <c r="BG32" i="1" a="1"/>
  <c r="BG32" i="1" s="1"/>
  <c r="C910" i="2" s="1" a="1"/>
  <c r="C910" i="2" s="1"/>
  <c r="BH32" i="1" a="1"/>
  <c r="BH32" i="1" s="1"/>
  <c r="C911" i="2" s="1" a="1"/>
  <c r="C911" i="2" s="1"/>
  <c r="BI32" i="1" a="1"/>
  <c r="BI32" i="1" s="1"/>
  <c r="C912" i="2" s="1" a="1"/>
  <c r="C912" i="2" s="1"/>
  <c r="BJ32" i="1" a="1"/>
  <c r="BJ32" i="1" s="1"/>
  <c r="C913" i="2" s="1" a="1"/>
  <c r="C913" i="2" s="1"/>
  <c r="BK32" i="1" a="1"/>
  <c r="BK32" i="1" s="1"/>
  <c r="C914" i="2" s="1" a="1"/>
  <c r="C914" i="2" s="1"/>
  <c r="BL32" i="1" a="1"/>
  <c r="BL32" i="1" s="1"/>
  <c r="C915" i="2" s="1" a="1"/>
  <c r="C915" i="2" s="1"/>
  <c r="BM32" i="1" a="1"/>
  <c r="BM32" i="1" s="1"/>
  <c r="C916" i="2" s="1" a="1"/>
  <c r="C916" i="2" s="1"/>
  <c r="BN32" i="1" a="1"/>
  <c r="BN32" i="1" s="1"/>
  <c r="C917" i="2" s="1" a="1"/>
  <c r="C917" i="2" s="1"/>
  <c r="BO32" i="1" a="1"/>
  <c r="BO32" i="1" s="1"/>
  <c r="C918" i="2" s="1" a="1"/>
  <c r="C918" i="2" s="1"/>
  <c r="BP32" i="1" a="1"/>
  <c r="BP32" i="1" s="1"/>
  <c r="BQ32" i="1" a="1"/>
  <c r="BQ32" i="1" s="1"/>
  <c r="BR32" i="1" a="1"/>
  <c r="BR32" i="1" s="1"/>
  <c r="C921" i="2" s="1" a="1"/>
  <c r="C921" i="2" s="1"/>
  <c r="BS32" i="1" a="1"/>
  <c r="BS32" i="1" s="1"/>
  <c r="C922" i="2" s="1" a="1"/>
  <c r="C922" i="2" s="1"/>
  <c r="BT32" i="1" a="1"/>
  <c r="BT32" i="1" s="1"/>
  <c r="C923" i="2" s="1" a="1"/>
  <c r="C923" i="2" s="1"/>
  <c r="BU32" i="1" a="1"/>
  <c r="BU32" i="1" s="1"/>
  <c r="C924" i="2" s="1" a="1"/>
  <c r="C924" i="2" s="1"/>
  <c r="BV32" i="1" a="1"/>
  <c r="BV32" i="1" s="1"/>
  <c r="C925" i="2" s="1" a="1"/>
  <c r="C925" i="2" s="1"/>
  <c r="BW32" i="1" a="1"/>
  <c r="BW32" i="1" s="1"/>
  <c r="C926" i="2" s="1" a="1"/>
  <c r="C926" i="2" s="1"/>
  <c r="C927" i="2" a="1"/>
  <c r="C927" i="2" s="1"/>
  <c r="C928" i="2" a="1"/>
  <c r="C928" i="2" s="1"/>
  <c r="AU33" i="1" a="1"/>
  <c r="AU33" i="1" s="1"/>
  <c r="C930" i="2" s="1" a="1"/>
  <c r="C930" i="2" s="1"/>
  <c r="AV33" i="1" a="1"/>
  <c r="AV33" i="1" s="1"/>
  <c r="C931" i="2" s="1" a="1"/>
  <c r="C931" i="2" s="1"/>
  <c r="AW33" i="1" a="1"/>
  <c r="AW33" i="1" s="1"/>
  <c r="C932" i="2" s="1" a="1"/>
  <c r="C932" i="2" s="1"/>
  <c r="AX33" i="1" a="1"/>
  <c r="AX33" i="1" s="1"/>
  <c r="C933" i="2" s="1" a="1"/>
  <c r="C933" i="2" s="1"/>
  <c r="AY33" i="1" a="1"/>
  <c r="AY33" i="1" s="1"/>
  <c r="C934" i="2" s="1" a="1"/>
  <c r="C934" i="2" s="1"/>
  <c r="AZ33" i="1" a="1"/>
  <c r="AZ33" i="1" s="1"/>
  <c r="C935" i="2" s="1" a="1"/>
  <c r="C935" i="2" s="1"/>
  <c r="BA33" i="1" a="1"/>
  <c r="BA33" i="1" s="1"/>
  <c r="C936" i="2" s="1" a="1"/>
  <c r="C936" i="2" s="1"/>
  <c r="BB33" i="1" a="1"/>
  <c r="BB33" i="1" s="1"/>
  <c r="C937" i="2" s="1" a="1"/>
  <c r="C937" i="2" s="1"/>
  <c r="BC33" i="1" a="1"/>
  <c r="BC33" i="1" s="1"/>
  <c r="C938" i="2" s="1" a="1"/>
  <c r="C938" i="2" s="1"/>
  <c r="BD33" i="1" a="1"/>
  <c r="BD33" i="1" s="1"/>
  <c r="C939" i="2" s="1" a="1"/>
  <c r="C939" i="2" s="1"/>
  <c r="BE33" i="1" a="1"/>
  <c r="BE33" i="1" s="1"/>
  <c r="C940" i="2" s="1" a="1"/>
  <c r="C940" i="2" s="1"/>
  <c r="BF33" i="1" a="1"/>
  <c r="BF33" i="1" s="1"/>
  <c r="C941" i="2" s="1" a="1"/>
  <c r="C941" i="2" s="1"/>
  <c r="BG33" i="1" a="1"/>
  <c r="BG33" i="1" s="1"/>
  <c r="C942" i="2" s="1" a="1"/>
  <c r="C942" i="2" s="1"/>
  <c r="BH33" i="1" a="1"/>
  <c r="BH33" i="1" s="1"/>
  <c r="C943" i="2" s="1" a="1"/>
  <c r="C943" i="2" s="1"/>
  <c r="BI33" i="1" a="1"/>
  <c r="BI33" i="1" s="1"/>
  <c r="C944" i="2" s="1" a="1"/>
  <c r="C944" i="2" s="1"/>
  <c r="BJ33" i="1" a="1"/>
  <c r="BJ33" i="1" s="1"/>
  <c r="C945" i="2" s="1" a="1"/>
  <c r="C945" i="2" s="1"/>
  <c r="BK33" i="1" a="1"/>
  <c r="BK33" i="1" s="1"/>
  <c r="C946" i="2" s="1" a="1"/>
  <c r="C946" i="2" s="1"/>
  <c r="BL33" i="1" a="1"/>
  <c r="BL33" i="1" s="1"/>
  <c r="C947" i="2" s="1" a="1"/>
  <c r="C947" i="2" s="1"/>
  <c r="BM33" i="1" a="1"/>
  <c r="BM33" i="1" s="1"/>
  <c r="C948" i="2" s="1" a="1"/>
  <c r="C948" i="2" s="1"/>
  <c r="BN33" i="1" a="1"/>
  <c r="BN33" i="1" s="1"/>
  <c r="C949" i="2" s="1" a="1"/>
  <c r="C949" i="2" s="1"/>
  <c r="BO33" i="1" a="1"/>
  <c r="BO33" i="1" s="1"/>
  <c r="C950" i="2" s="1" a="1"/>
  <c r="C950" i="2" s="1"/>
  <c r="BP33" i="1" a="1"/>
  <c r="BP33" i="1" s="1"/>
  <c r="C951" i="2" s="1" a="1"/>
  <c r="C951" i="2" s="1"/>
  <c r="BQ33" i="1" a="1"/>
  <c r="BQ33" i="1" s="1"/>
  <c r="C952" i="2" s="1" a="1"/>
  <c r="C952" i="2" s="1"/>
  <c r="BR33" i="1" a="1"/>
  <c r="BR33" i="1" s="1"/>
  <c r="BS33" i="1" a="1"/>
  <c r="BS33" i="1" s="1"/>
  <c r="BT33" i="1" a="1"/>
  <c r="BT33" i="1" s="1"/>
  <c r="C955" i="2" s="1" a="1"/>
  <c r="C955" i="2" s="1"/>
  <c r="BU33" i="1" a="1"/>
  <c r="BU33" i="1" s="1"/>
  <c r="C956" i="2" s="1" a="1"/>
  <c r="C956" i="2" s="1"/>
  <c r="BV33" i="1" a="1"/>
  <c r="BV33" i="1" s="1"/>
  <c r="C957" i="2" s="1" a="1"/>
  <c r="C957" i="2" s="1"/>
  <c r="BW33" i="1" a="1"/>
  <c r="BW33" i="1" s="1"/>
  <c r="C958" i="2" s="1" a="1"/>
  <c r="C958" i="2" s="1"/>
  <c r="C959" i="2" a="1"/>
  <c r="C959" i="2" s="1"/>
  <c r="C960" i="2" a="1"/>
  <c r="C960" i="2" s="1"/>
  <c r="C962" i="2" a="1"/>
  <c r="C962" i="2" s="1"/>
  <c r="C963" i="2" a="1"/>
  <c r="C963" i="2" s="1"/>
  <c r="C964" i="2" a="1"/>
  <c r="C964" i="2" s="1"/>
  <c r="C965" i="2" a="1"/>
  <c r="C965" i="2" s="1"/>
  <c r="C966" i="2" a="1"/>
  <c r="C966" i="2" s="1"/>
  <c r="C967" i="2" a="1"/>
  <c r="C967" i="2" s="1"/>
  <c r="C968" i="2" a="1"/>
  <c r="C968" i="2" s="1"/>
  <c r="C969" i="2" a="1"/>
  <c r="C969" i="2" s="1"/>
  <c r="C970" i="2" a="1"/>
  <c r="C970" i="2" s="1"/>
  <c r="C971" i="2" a="1"/>
  <c r="C971" i="2" s="1"/>
  <c r="C972" i="2" a="1"/>
  <c r="C972" i="2" s="1"/>
  <c r="C973" i="2" a="1"/>
  <c r="C973" i="2" s="1"/>
  <c r="C974" i="2" a="1"/>
  <c r="C974" i="2" s="1"/>
  <c r="C975" i="2" a="1"/>
  <c r="C975" i="2" s="1"/>
  <c r="C976" i="2" a="1"/>
  <c r="C976" i="2" s="1"/>
  <c r="C977" i="2" a="1"/>
  <c r="C977" i="2" s="1"/>
  <c r="C978" i="2" a="1"/>
  <c r="C978" i="2" s="1"/>
  <c r="C979" i="2" a="1"/>
  <c r="C979" i="2" s="1"/>
  <c r="C980" i="2" a="1"/>
  <c r="C980" i="2" s="1"/>
  <c r="C981" i="2" a="1"/>
  <c r="C981" i="2" s="1"/>
  <c r="C982" i="2" a="1"/>
  <c r="C982" i="2" s="1"/>
  <c r="C983" i="2" a="1"/>
  <c r="C983" i="2" s="1"/>
  <c r="C984" i="2" a="1"/>
  <c r="C984" i="2" s="1"/>
  <c r="C985" i="2" a="1"/>
  <c r="C985" i="2" s="1"/>
  <c r="C986" i="2" a="1"/>
  <c r="C986" i="2" s="1"/>
  <c r="C987" i="2" a="1"/>
  <c r="C987" i="2" s="1"/>
  <c r="C988" i="2" a="1"/>
  <c r="C988" i="2" s="1"/>
  <c r="C989" i="2" a="1"/>
  <c r="C989" i="2" s="1"/>
  <c r="C990" i="2" a="1"/>
  <c r="C990" i="2" s="1"/>
  <c r="C991" i="2" a="1"/>
  <c r="C991" i="2" s="1"/>
  <c r="C992" i="2" a="1"/>
  <c r="C992" i="2" s="1"/>
  <c r="C994" i="2" a="1"/>
  <c r="C994" i="2" s="1"/>
  <c r="C995" i="2" a="1"/>
  <c r="C995" i="2" s="1"/>
  <c r="C996" i="2" a="1"/>
  <c r="C996" i="2" s="1"/>
  <c r="C997" i="2" a="1"/>
  <c r="C997" i="2" s="1"/>
  <c r="C998" i="2" a="1"/>
  <c r="C998" i="2" s="1"/>
  <c r="C999" i="2" a="1"/>
  <c r="C999" i="2" s="1"/>
  <c r="C1000" i="2" a="1"/>
  <c r="C1000" i="2" s="1"/>
  <c r="C1001" i="2" a="1"/>
  <c r="C1001" i="2" s="1"/>
  <c r="C1002" i="2" a="1"/>
  <c r="C1002" i="2" s="1"/>
  <c r="C1003" i="2" a="1"/>
  <c r="C1003" i="2" s="1"/>
  <c r="C1004" i="2" a="1"/>
  <c r="C1004" i="2" s="1"/>
  <c r="C1005" i="2" a="1"/>
  <c r="C1005" i="2" s="1"/>
  <c r="C1006" i="2" a="1"/>
  <c r="C1006" i="2" s="1"/>
  <c r="C1007" i="2" a="1"/>
  <c r="C1007" i="2" s="1"/>
  <c r="C1008" i="2" a="1"/>
  <c r="C1008" i="2" s="1"/>
  <c r="C1009" i="2" a="1"/>
  <c r="C1009" i="2" s="1"/>
  <c r="C1010" i="2" a="1"/>
  <c r="C1010" i="2" s="1"/>
  <c r="C1011" i="2" a="1"/>
  <c r="C1011" i="2" s="1"/>
  <c r="C1012" i="2" a="1"/>
  <c r="C1012" i="2" s="1"/>
  <c r="C1013" i="2" a="1"/>
  <c r="C1013" i="2" s="1"/>
  <c r="C1014" i="2" a="1"/>
  <c r="C1014" i="2" s="1"/>
  <c r="C1015" i="2" a="1"/>
  <c r="C1015" i="2" s="1"/>
  <c r="C1016" i="2" a="1"/>
  <c r="C1016" i="2" s="1"/>
  <c r="C1017" i="2" a="1"/>
  <c r="C1017" i="2" s="1"/>
  <c r="C1018" i="2" a="1"/>
  <c r="C1018" i="2" s="1"/>
  <c r="C1019" i="2" a="1"/>
  <c r="C1019" i="2" s="1"/>
  <c r="C1020" i="2" a="1"/>
  <c r="C1020" i="2" s="1"/>
  <c r="C1021" i="2" a="1"/>
  <c r="C1021" i="2" s="1"/>
  <c r="C1022" i="2" a="1"/>
  <c r="C1022" i="2" s="1"/>
  <c r="C1023" i="2" a="1"/>
  <c r="C1023" i="2" s="1"/>
  <c r="C1024" i="2" a="1"/>
  <c r="C1024" i="2" s="1"/>
  <c r="AV4" i="1" a="1"/>
  <c r="AV4" i="1" s="1"/>
  <c r="C3" i="2" s="1" a="1"/>
  <c r="C3" i="2" s="1"/>
  <c r="AW4" i="1" a="1"/>
  <c r="AW4" i="1" s="1"/>
  <c r="C4" i="2" s="1" a="1"/>
  <c r="C4" i="2" s="1"/>
  <c r="AX4" i="1" a="1"/>
  <c r="AX4" i="1" s="1"/>
  <c r="C5" i="2" s="1" a="1"/>
  <c r="C5" i="2" s="1"/>
  <c r="AY4" i="1" a="1"/>
  <c r="AY4" i="1" s="1"/>
  <c r="C6" i="2" s="1" a="1"/>
  <c r="C6" i="2" s="1"/>
  <c r="AZ4" i="1" a="1"/>
  <c r="AZ4" i="1" s="1"/>
  <c r="C7" i="2" s="1" a="1"/>
  <c r="C7" i="2" s="1"/>
  <c r="BA4" i="1" a="1"/>
  <c r="BA4" i="1" s="1"/>
  <c r="C8" i="2" s="1" a="1"/>
  <c r="C8" i="2" s="1"/>
  <c r="BB4" i="1" a="1"/>
  <c r="BB4" i="1" s="1"/>
  <c r="C9" i="2" s="1" a="1"/>
  <c r="C9" i="2" s="1"/>
  <c r="BC4" i="1" a="1"/>
  <c r="BC4" i="1" s="1"/>
  <c r="C10" i="2" s="1" a="1"/>
  <c r="C10" i="2" s="1"/>
  <c r="BD4" i="1" a="1"/>
  <c r="BD4" i="1" s="1"/>
  <c r="C11" i="2" s="1" a="1"/>
  <c r="C11" i="2" s="1"/>
  <c r="BE4" i="1" a="1"/>
  <c r="BE4" i="1" s="1"/>
  <c r="C12" i="2" s="1" a="1"/>
  <c r="C12" i="2" s="1"/>
  <c r="BF4" i="1" a="1"/>
  <c r="BF4" i="1" s="1"/>
  <c r="C13" i="2" s="1" a="1"/>
  <c r="C13" i="2" s="1"/>
  <c r="BG4" i="1" a="1"/>
  <c r="BG4" i="1" s="1"/>
  <c r="C14" i="2" s="1" a="1"/>
  <c r="C14" i="2" s="1"/>
  <c r="BH4" i="1" a="1"/>
  <c r="BH4" i="1" s="1"/>
  <c r="C15" i="2" s="1" a="1"/>
  <c r="C15" i="2" s="1"/>
  <c r="BI4" i="1" a="1"/>
  <c r="BI4" i="1" s="1"/>
  <c r="C16" i="2" s="1" a="1"/>
  <c r="C16" i="2" s="1"/>
  <c r="BJ4" i="1" a="1"/>
  <c r="BJ4" i="1" s="1"/>
  <c r="C17" i="2" s="1" a="1"/>
  <c r="C17" i="2" s="1"/>
  <c r="BK4" i="1" a="1"/>
  <c r="BK4" i="1" s="1"/>
  <c r="C18" i="2" s="1" a="1"/>
  <c r="C18" i="2" s="1"/>
  <c r="BL4" i="1" a="1"/>
  <c r="BL4" i="1" s="1"/>
  <c r="C19" i="2" s="1" a="1"/>
  <c r="C19" i="2" s="1"/>
  <c r="BM4" i="1" a="1"/>
  <c r="BM4" i="1" s="1"/>
  <c r="C20" i="2" s="1" a="1"/>
  <c r="C20" i="2" s="1"/>
  <c r="BN4" i="1" a="1"/>
  <c r="BN4" i="1" s="1"/>
  <c r="C21" i="2" s="1" a="1"/>
  <c r="C21" i="2" s="1"/>
  <c r="BO4" i="1" a="1"/>
  <c r="BO4" i="1" s="1"/>
  <c r="C22" i="2" s="1" a="1"/>
  <c r="C22" i="2" s="1"/>
  <c r="BP4" i="1" a="1"/>
  <c r="BP4" i="1" s="1"/>
  <c r="C23" i="2" s="1" a="1"/>
  <c r="C23" i="2" s="1"/>
  <c r="BQ4" i="1" a="1"/>
  <c r="BQ4" i="1" s="1"/>
  <c r="C24" i="2" s="1" a="1"/>
  <c r="C24" i="2" s="1"/>
  <c r="BR4" i="1" a="1"/>
  <c r="BR4" i="1" s="1"/>
  <c r="C25" i="2" s="1" a="1"/>
  <c r="C25" i="2" s="1"/>
  <c r="BS4" i="1" a="1"/>
  <c r="BS4" i="1" s="1"/>
  <c r="C26" i="2" s="1" a="1"/>
  <c r="C26" i="2" s="1"/>
  <c r="BT4" i="1" a="1"/>
  <c r="BT4" i="1" s="1"/>
  <c r="C27" i="2" s="1" a="1"/>
  <c r="C27" i="2" s="1"/>
  <c r="BU4" i="1" a="1"/>
  <c r="BU4" i="1" s="1"/>
  <c r="C28" i="2" s="1" a="1"/>
  <c r="C28" i="2" s="1"/>
  <c r="BV4" i="1" a="1"/>
  <c r="BV4" i="1" s="1"/>
  <c r="C29" i="2" s="1" a="1"/>
  <c r="C29" i="2" s="1"/>
  <c r="BW4" i="1" a="1"/>
  <c r="BW4" i="1" s="1"/>
  <c r="C30" i="2" s="1" a="1"/>
  <c r="C30" i="2" s="1"/>
  <c r="C31" i="2" a="1"/>
  <c r="C31" i="2" s="1"/>
  <c r="C32" i="2" a="1"/>
  <c r="C32" i="2" s="1"/>
  <c r="AU4" i="1" a="1"/>
  <c r="AU4" i="1" s="1"/>
  <c r="C2" i="2" s="1" a="1"/>
  <c r="C2" i="2" s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L12" i="1"/>
  <c r="AL15" i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N42" i="1" a="1"/>
  <c r="N42" i="1" s="1"/>
  <c r="O42" i="1" a="1"/>
  <c r="O42" i="1" s="1"/>
  <c r="P42" i="1" a="1"/>
  <c r="P42" i="1" s="1"/>
  <c r="Q42" i="1" a="1"/>
  <c r="Q42" i="1" s="1"/>
  <c r="R42" i="1" a="1"/>
  <c r="R42" i="1" s="1"/>
  <c r="S42" i="1" a="1"/>
  <c r="S42" i="1" s="1"/>
  <c r="T42" i="1" a="1"/>
  <c r="T42" i="1" s="1"/>
  <c r="U42" i="1" a="1"/>
  <c r="U42" i="1" s="1"/>
  <c r="V42" i="1" a="1"/>
  <c r="V42" i="1" s="1"/>
  <c r="W42" i="1" a="1"/>
  <c r="W42" i="1" s="1"/>
  <c r="X42" i="1" a="1"/>
  <c r="X42" i="1" s="1"/>
  <c r="Y42" i="1" a="1"/>
  <c r="Y42" i="1" s="1"/>
  <c r="Z42" i="1" a="1"/>
  <c r="Z42" i="1" s="1"/>
  <c r="AA42" i="1" a="1"/>
  <c r="AA42" i="1" s="1"/>
  <c r="AB42" i="1" a="1"/>
  <c r="AB42" i="1" s="1"/>
  <c r="AC42" i="1" a="1"/>
  <c r="AC42" i="1" s="1"/>
  <c r="AD42" i="1" a="1"/>
  <c r="AD42" i="1" s="1"/>
  <c r="AE42" i="1" a="1"/>
  <c r="AE42" i="1" s="1"/>
  <c r="AF42" i="1" a="1"/>
  <c r="AF42" i="1" s="1"/>
  <c r="AG42" i="1" a="1"/>
  <c r="AG42" i="1" s="1"/>
  <c r="AH42" i="1" a="1"/>
  <c r="AH42" i="1" s="1"/>
  <c r="AI42" i="1" a="1"/>
  <c r="AI42" i="1" s="1"/>
  <c r="AL5" i="1"/>
  <c r="AL6" i="1"/>
  <c r="AL7" i="1"/>
  <c r="AL8" i="1"/>
  <c r="AL9" i="1"/>
  <c r="AL10" i="1"/>
  <c r="AL19" i="1"/>
  <c r="AL20" i="1"/>
  <c r="AL21" i="1"/>
  <c r="AL22" i="1"/>
  <c r="AL23" i="1"/>
  <c r="AL24" i="1"/>
  <c r="AL25" i="1"/>
  <c r="AL26" i="1"/>
  <c r="AL27" i="1"/>
  <c r="AL28" i="1"/>
  <c r="AL4" i="1"/>
  <c r="C1" i="2" l="1" a="1"/>
  <c r="C1" i="2" s="1"/>
  <c r="AT35" i="1"/>
  <c r="C331" i="2" a="1"/>
  <c r="C331" i="2" s="1"/>
  <c r="C571" i="2" a="1"/>
  <c r="C571" i="2" s="1"/>
  <c r="C691" i="2" a="1"/>
  <c r="C691" i="2" s="1"/>
  <c r="C727" i="2" a="1"/>
  <c r="C727" i="2" s="1"/>
  <c r="C626" i="2" a="1"/>
  <c r="C626" i="2" s="1"/>
  <c r="C629" i="2" a="1"/>
  <c r="C629" i="2" s="1"/>
  <c r="C628" i="2" a="1"/>
  <c r="C628" i="2" s="1"/>
  <c r="C624" i="2" a="1"/>
  <c r="C624" i="2" s="1"/>
  <c r="C632" i="2" a="1"/>
  <c r="C632" i="2" s="1"/>
  <c r="C633" i="2" a="1"/>
  <c r="C633" i="2" s="1"/>
  <c r="C623" i="2" a="1"/>
  <c r="C623" i="2" s="1"/>
  <c r="C627" i="2" a="1"/>
  <c r="C627" i="2" s="1"/>
  <c r="C625" i="2" a="1"/>
  <c r="C625" i="2" s="1"/>
  <c r="C391" i="2" a="1"/>
  <c r="C391" i="2" s="1"/>
  <c r="C421" i="2" a="1"/>
  <c r="C421" i="2" s="1"/>
  <c r="C541" i="2" a="1"/>
  <c r="C541" i="2" s="1"/>
  <c r="C843" i="2" a="1"/>
  <c r="C843" i="2" s="1"/>
  <c r="C844" i="2" a="1"/>
  <c r="C844" i="2" s="1"/>
  <c r="C847" i="2" a="1"/>
  <c r="C847" i="2" s="1"/>
  <c r="C849" i="2" a="1"/>
  <c r="C849" i="2" s="1"/>
  <c r="C838" i="2" a="1"/>
  <c r="C838" i="2" s="1"/>
  <c r="C839" i="2" a="1"/>
  <c r="C839" i="2" s="1"/>
  <c r="C241" i="2" a="1"/>
  <c r="C241" i="2" s="1"/>
  <c r="C630" i="2" a="1"/>
  <c r="C630" i="2" s="1"/>
  <c r="C211" i="2" a="1"/>
  <c r="C211" i="2" s="1"/>
  <c r="C83" i="2" a="1"/>
  <c r="C83" i="2" s="1"/>
  <c r="C151" i="2" a="1"/>
  <c r="C151" i="2" s="1"/>
  <c r="C301" i="2" a="1"/>
  <c r="C301" i="2" s="1"/>
  <c r="C661" i="2" a="1"/>
  <c r="C661" i="2" s="1"/>
  <c r="C781" i="2" a="1"/>
  <c r="C781" i="2" s="1"/>
  <c r="C811" i="2" a="1"/>
  <c r="C811" i="2" s="1"/>
  <c r="C232" i="2" a="1"/>
  <c r="C232" i="2" s="1"/>
  <c r="C634" i="2" a="1"/>
  <c r="C634" i="2" s="1"/>
  <c r="C233" i="2" a="1"/>
  <c r="C233" i="2" s="1"/>
  <c r="C552" i="2" a="1"/>
  <c r="C552" i="2" s="1"/>
  <c r="C548" i="2" a="1"/>
  <c r="C548" i="2" s="1"/>
  <c r="AM35" i="1"/>
  <c r="C235" i="2" a="1"/>
  <c r="C235" i="2" s="1"/>
  <c r="C236" i="2" a="1"/>
  <c r="C236" i="2" s="1"/>
  <c r="C228" i="2" a="1"/>
  <c r="C228" i="2" s="1"/>
  <c r="C553" i="2" a="1"/>
  <c r="C553" i="2" s="1"/>
  <c r="C809" i="2" a="1"/>
  <c r="C809" i="2" s="1"/>
  <c r="C234" i="2" a="1"/>
  <c r="C234" i="2" s="1"/>
  <c r="C181" i="2" a="1"/>
  <c r="C181" i="2" s="1"/>
  <c r="C535" i="2" a="1"/>
  <c r="C535" i="2" s="1"/>
  <c r="C536" i="2" a="1"/>
  <c r="C536" i="2" s="1"/>
  <c r="C537" i="2" a="1"/>
  <c r="C537" i="2" s="1"/>
  <c r="C538" i="2" a="1"/>
  <c r="C538" i="2" s="1"/>
  <c r="C539" i="2" a="1"/>
  <c r="C539" i="2" s="1"/>
  <c r="C540" i="2" a="1"/>
  <c r="C540" i="2" s="1"/>
  <c r="C542" i="2" a="1"/>
  <c r="C542" i="2" s="1"/>
  <c r="C547" i="2" a="1"/>
  <c r="C547" i="2" s="1"/>
  <c r="C764" i="2" a="1"/>
  <c r="C764" i="2" s="1"/>
  <c r="C891" i="2" a="1"/>
  <c r="C891" i="2" s="1"/>
  <c r="C206" i="2" a="1"/>
  <c r="C206" i="2" s="1"/>
  <c r="C220" i="2" a="1"/>
  <c r="C220" i="2" s="1"/>
  <c r="C315" i="2" a="1"/>
  <c r="C315" i="2" s="1"/>
  <c r="C323" i="2" a="1"/>
  <c r="C323" i="2" s="1"/>
  <c r="C399" i="2" a="1"/>
  <c r="C399" i="2" s="1"/>
  <c r="C406" i="2" a="1"/>
  <c r="C406" i="2" s="1"/>
  <c r="C472" i="2" a="1"/>
  <c r="C472" i="2" s="1"/>
  <c r="C485" i="2" a="1"/>
  <c r="C485" i="2" s="1"/>
  <c r="C551" i="2" a="1"/>
  <c r="C551" i="2" s="1"/>
  <c r="C612" i="2" a="1"/>
  <c r="C612" i="2" s="1"/>
  <c r="C694" i="2" a="1"/>
  <c r="C694" i="2" s="1"/>
  <c r="C713" i="2" a="1"/>
  <c r="C713" i="2" s="1"/>
  <c r="C763" i="2" a="1"/>
  <c r="C763" i="2" s="1"/>
  <c r="C846" i="2" a="1"/>
  <c r="C846" i="2" s="1"/>
  <c r="C855" i="2" a="1"/>
  <c r="C855" i="2" s="1"/>
  <c r="C308" i="2" a="1"/>
  <c r="C308" i="2" s="1"/>
  <c r="C316" i="2" a="1"/>
  <c r="C316" i="2" s="1"/>
  <c r="C325" i="2" a="1"/>
  <c r="C325" i="2" s="1"/>
  <c r="C398" i="2" a="1"/>
  <c r="C398" i="2" s="1"/>
  <c r="C473" i="2" a="1"/>
  <c r="C473" i="2" s="1"/>
  <c r="C487" i="2" a="1"/>
  <c r="C487" i="2" s="1"/>
  <c r="C615" i="2" a="1"/>
  <c r="C615" i="2" s="1"/>
  <c r="C697" i="2" a="1"/>
  <c r="C697" i="2" s="1"/>
  <c r="C702" i="2" a="1"/>
  <c r="C702" i="2" s="1"/>
  <c r="C788" i="2" a="1"/>
  <c r="C788" i="2" s="1"/>
  <c r="C805" i="2" a="1"/>
  <c r="C805" i="2" s="1"/>
  <c r="C845" i="2" a="1"/>
  <c r="C845" i="2" s="1"/>
  <c r="C857" i="2" a="1"/>
  <c r="C857" i="2" s="1"/>
  <c r="C80" i="2" a="1"/>
  <c r="C80" i="2" s="1"/>
  <c r="C309" i="2" a="1"/>
  <c r="C309" i="2" s="1"/>
  <c r="C314" i="2" a="1"/>
  <c r="C314" i="2" s="1"/>
  <c r="C322" i="2" a="1"/>
  <c r="C322" i="2" s="1"/>
  <c r="C396" i="2" a="1"/>
  <c r="C396" i="2" s="1"/>
  <c r="C405" i="2" a="1"/>
  <c r="C405" i="2" s="1"/>
  <c r="C474" i="2" a="1"/>
  <c r="C474" i="2" s="1"/>
  <c r="C483" i="2" a="1"/>
  <c r="C483" i="2" s="1"/>
  <c r="C550" i="2" a="1"/>
  <c r="C550" i="2" s="1"/>
  <c r="C616" i="2" a="1"/>
  <c r="C616" i="2" s="1"/>
  <c r="C700" i="2" a="1"/>
  <c r="C700" i="2" s="1"/>
  <c r="C707" i="2" a="1"/>
  <c r="C707" i="2" s="1"/>
  <c r="C787" i="2" a="1"/>
  <c r="C787" i="2" s="1"/>
  <c r="C840" i="2" a="1"/>
  <c r="C840" i="2" s="1"/>
  <c r="C853" i="2" a="1"/>
  <c r="C853" i="2" s="1"/>
  <c r="C82" i="2" a="1"/>
  <c r="C82" i="2" s="1"/>
  <c r="C312" i="2" a="1"/>
  <c r="C312" i="2" s="1"/>
  <c r="C324" i="2" a="1"/>
  <c r="C324" i="2" s="1"/>
  <c r="C400" i="2" a="1"/>
  <c r="C400" i="2" s="1"/>
  <c r="C482" i="2" a="1"/>
  <c r="C482" i="2" s="1"/>
  <c r="C549" i="2" a="1"/>
  <c r="C549" i="2" s="1"/>
  <c r="C611" i="2" a="1"/>
  <c r="C611" i="2" s="1"/>
  <c r="C622" i="2" a="1"/>
  <c r="C622" i="2" s="1"/>
  <c r="C701" i="2" a="1"/>
  <c r="C701" i="2" s="1"/>
  <c r="C711" i="2" a="1"/>
  <c r="C711" i="2" s="1"/>
  <c r="C765" i="2" a="1"/>
  <c r="C765" i="2" s="1"/>
  <c r="C850" i="2" a="1"/>
  <c r="C850" i="2" s="1"/>
  <c r="C859" i="2" a="1"/>
  <c r="C859" i="2" s="1"/>
  <c r="C33" i="2" a="1"/>
  <c r="C33" i="2" s="1"/>
  <c r="C65" i="2" a="1"/>
  <c r="C65" i="2" s="1"/>
  <c r="C97" i="2" a="1"/>
  <c r="C97" i="2" s="1"/>
  <c r="C81" i="2" a="1"/>
  <c r="C81" i="2" s="1"/>
  <c r="C307" i="2" a="1"/>
  <c r="C307" i="2" s="1"/>
  <c r="C313" i="2" a="1"/>
  <c r="C313" i="2" s="1"/>
  <c r="C318" i="2" a="1"/>
  <c r="C318" i="2" s="1"/>
  <c r="C397" i="2" a="1"/>
  <c r="C397" i="2" s="1"/>
  <c r="C404" i="2" a="1"/>
  <c r="C404" i="2" s="1"/>
  <c r="C478" i="2" a="1"/>
  <c r="C478" i="2" s="1"/>
  <c r="C486" i="2" a="1"/>
  <c r="C486" i="2" s="1"/>
  <c r="C619" i="2" a="1"/>
  <c r="C619" i="2" s="1"/>
  <c r="C698" i="2" a="1"/>
  <c r="C698" i="2" s="1"/>
  <c r="C706" i="2" a="1"/>
  <c r="C706" i="2" s="1"/>
  <c r="C762" i="2" a="1"/>
  <c r="C762" i="2" s="1"/>
  <c r="C842" i="2" a="1"/>
  <c r="C842" i="2" s="1"/>
  <c r="C854" i="2" a="1"/>
  <c r="C854" i="2" s="1"/>
  <c r="C121" i="2" a="1"/>
  <c r="C121" i="2" s="1"/>
  <c r="C156" i="2" a="1"/>
  <c r="C156" i="2" s="1"/>
  <c r="C157" i="2" a="1"/>
  <c r="C157" i="2" s="1"/>
  <c r="C158" i="2" a="1"/>
  <c r="C158" i="2" s="1"/>
  <c r="C162" i="2" a="1"/>
  <c r="C162" i="2" s="1"/>
  <c r="C163" i="2" a="1"/>
  <c r="C163" i="2" s="1"/>
  <c r="C164" i="2" a="1"/>
  <c r="C164" i="2" s="1"/>
  <c r="C165" i="2" a="1"/>
  <c r="C165" i="2" s="1"/>
  <c r="C202" i="2" a="1"/>
  <c r="C202" i="2" s="1"/>
  <c r="C311" i="2" a="1"/>
  <c r="C311" i="2" s="1"/>
  <c r="C317" i="2" a="1"/>
  <c r="C317" i="2" s="1"/>
  <c r="C326" i="2" a="1"/>
  <c r="C326" i="2" s="1"/>
  <c r="C401" i="2" a="1"/>
  <c r="C401" i="2" s="1"/>
  <c r="C484" i="2" a="1"/>
  <c r="C484" i="2" s="1"/>
  <c r="C620" i="2" a="1"/>
  <c r="C620" i="2" s="1"/>
  <c r="C695" i="2" a="1"/>
  <c r="C695" i="2" s="1"/>
  <c r="C708" i="2" a="1"/>
  <c r="C708" i="2" s="1"/>
  <c r="C848" i="2" a="1"/>
  <c r="C848" i="2" s="1"/>
  <c r="C860" i="2" a="1"/>
  <c r="C860" i="2" s="1"/>
  <c r="C239" i="2" a="1"/>
  <c r="C239" i="2" s="1"/>
  <c r="C240" i="2" a="1"/>
  <c r="C240" i="2" s="1"/>
  <c r="C242" i="2" a="1"/>
  <c r="C242" i="2" s="1"/>
  <c r="C243" i="2" a="1"/>
  <c r="C243" i="2" s="1"/>
  <c r="C244" i="2" a="1"/>
  <c r="C244" i="2" s="1"/>
  <c r="C245" i="2" a="1"/>
  <c r="C245" i="2" s="1"/>
  <c r="C310" i="2" a="1"/>
  <c r="C310" i="2" s="1"/>
  <c r="C402" i="2" a="1"/>
  <c r="C402" i="2" s="1"/>
  <c r="C477" i="2" a="1"/>
  <c r="C477" i="2" s="1"/>
  <c r="C618" i="2" a="1"/>
  <c r="C618" i="2" s="1"/>
  <c r="C696" i="2" a="1"/>
  <c r="C696" i="2" s="1"/>
  <c r="C709" i="2" a="1"/>
  <c r="C709" i="2" s="1"/>
  <c r="C858" i="2" a="1"/>
  <c r="C858" i="2" s="1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2" i="2" a="1"/>
  <c r="C392" i="2" s="1"/>
  <c r="C393" i="2" a="1"/>
  <c r="C393" i="2" s="1"/>
  <c r="C394" i="2" a="1"/>
  <c r="C394" i="2" s="1"/>
  <c r="C395" i="2" a="1"/>
  <c r="C395" i="2" s="1"/>
  <c r="C403" i="2" a="1"/>
  <c r="C403" i="2" s="1"/>
  <c r="C488" i="2" a="1"/>
  <c r="C488" i="2" s="1"/>
  <c r="C617" i="2" a="1"/>
  <c r="C617" i="2" s="1"/>
  <c r="C699" i="2" a="1"/>
  <c r="C699" i="2" s="1"/>
  <c r="C712" i="2" a="1"/>
  <c r="C712" i="2" s="1"/>
  <c r="C856" i="2" a="1"/>
  <c r="C856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 s="1"/>
  <c r="C470" i="2" a="1"/>
  <c r="C470" i="2" s="1"/>
  <c r="C471" i="2" a="1"/>
  <c r="C471" i="2" s="1"/>
  <c r="C791" i="2" a="1"/>
  <c r="C791" i="2" s="1"/>
  <c r="C554" i="2" a="1"/>
  <c r="C554" i="2" s="1"/>
  <c r="C555" i="2" a="1"/>
  <c r="C555" i="2" s="1"/>
  <c r="C556" i="2" a="1"/>
  <c r="C556" i="2" s="1"/>
  <c r="C564" i="2" a="1"/>
  <c r="C564" i="2" s="1"/>
  <c r="C621" i="2" a="1"/>
  <c r="C621" i="2" s="1"/>
  <c r="C710" i="2" a="1"/>
  <c r="C710" i="2" s="1"/>
  <c r="C687" i="2" a="1"/>
  <c r="C687" i="2" s="1"/>
  <c r="C688" i="2" a="1"/>
  <c r="C688" i="2" s="1"/>
  <c r="C689" i="2" a="1"/>
  <c r="C689" i="2" s="1"/>
  <c r="C690" i="2" a="1"/>
  <c r="C690" i="2" s="1"/>
  <c r="C692" i="2" a="1"/>
  <c r="C692" i="2" s="1"/>
  <c r="C693" i="2" a="1"/>
  <c r="C693" i="2" s="1"/>
  <c r="C766" i="2" a="1"/>
  <c r="C766" i="2" s="1"/>
  <c r="C770" i="2" a="1"/>
  <c r="C770" i="2" s="1"/>
  <c r="C771" i="2" a="1"/>
  <c r="C771" i="2" s="1"/>
  <c r="C772" i="2" a="1"/>
  <c r="C772" i="2" s="1"/>
  <c r="C773" i="2" a="1"/>
  <c r="C773" i="2" s="1"/>
  <c r="C774" i="2" a="1"/>
  <c r="C774" i="2" s="1"/>
  <c r="C775" i="2" a="1"/>
  <c r="C775" i="2" s="1"/>
  <c r="C776" i="2" a="1"/>
  <c r="C776" i="2" s="1"/>
  <c r="C777" i="2" a="1"/>
  <c r="C777" i="2" s="1"/>
  <c r="C778" i="2" a="1"/>
  <c r="C778" i="2" s="1"/>
  <c r="C779" i="2" a="1"/>
  <c r="C779" i="2" s="1"/>
  <c r="C780" i="2" a="1"/>
  <c r="C780" i="2" s="1"/>
  <c r="C782" i="2" a="1"/>
  <c r="C782" i="2" s="1"/>
  <c r="C785" i="2" a="1"/>
  <c r="C785" i="2" s="1"/>
  <c r="C786" i="2" a="1"/>
  <c r="C786" i="2" s="1"/>
  <c r="C861" i="2" a="1"/>
  <c r="C861" i="2" s="1"/>
  <c r="C862" i="2" a="1"/>
  <c r="C862" i="2" s="1"/>
  <c r="C872" i="2" a="1"/>
  <c r="C872" i="2" s="1"/>
  <c r="C884" i="2" a="1"/>
  <c r="C884" i="2" s="1"/>
  <c r="C919" i="2" a="1"/>
  <c r="C919" i="2" s="1"/>
  <c r="C863" i="2" a="1"/>
  <c r="C863" i="2" s="1"/>
  <c r="C920" i="2" a="1"/>
  <c r="C920" i="2" s="1"/>
  <c r="C864" i="2" a="1"/>
  <c r="C864" i="2" s="1"/>
  <c r="C793" i="2" a="1"/>
  <c r="C793" i="2" s="1"/>
  <c r="C876" i="2" a="1"/>
  <c r="C876" i="2" s="1"/>
  <c r="C790" i="2" a="1"/>
  <c r="C790" i="2" s="1"/>
  <c r="C874" i="2" a="1"/>
  <c r="C874" i="2" s="1"/>
  <c r="C789" i="2" a="1"/>
  <c r="C789" i="2" s="1"/>
  <c r="C810" i="2" a="1"/>
  <c r="C810" i="2" s="1"/>
  <c r="C870" i="2" a="1"/>
  <c r="C870" i="2" s="1"/>
  <c r="C807" i="2" a="1"/>
  <c r="C807" i="2" s="1"/>
  <c r="C888" i="2" a="1"/>
  <c r="C888" i="2" s="1"/>
  <c r="C806" i="2" a="1"/>
  <c r="C806" i="2" s="1"/>
  <c r="C873" i="2" a="1"/>
  <c r="C873" i="2" s="1"/>
  <c r="C215" i="2" a="1"/>
  <c r="C215" i="2" s="1"/>
  <c r="C230" i="2" a="1"/>
  <c r="C230" i="2" s="1"/>
  <c r="C305" i="2" a="1"/>
  <c r="C305" i="2" s="1"/>
  <c r="C558" i="2" a="1"/>
  <c r="C558" i="2" s="1"/>
  <c r="C565" i="2" a="1"/>
  <c r="C565" i="2" s="1"/>
  <c r="C597" i="2" a="1"/>
  <c r="C597" i="2" s="1"/>
  <c r="C603" i="2" a="1"/>
  <c r="C603" i="2" s="1"/>
  <c r="C635" i="2" a="1"/>
  <c r="C635" i="2" s="1"/>
  <c r="C643" i="2" a="1"/>
  <c r="C643" i="2" s="1"/>
  <c r="C678" i="2" a="1"/>
  <c r="C678" i="2" s="1"/>
  <c r="C719" i="2" a="1"/>
  <c r="C719" i="2" s="1"/>
  <c r="C728" i="2" a="1"/>
  <c r="C728" i="2" s="1"/>
  <c r="C796" i="2" a="1"/>
  <c r="C796" i="2" s="1"/>
  <c r="C868" i="2" a="1"/>
  <c r="C868" i="2" s="1"/>
  <c r="C887" i="2" a="1"/>
  <c r="C887" i="2" s="1"/>
  <c r="C686" i="2" a="1"/>
  <c r="C686" i="2" s="1"/>
  <c r="C77" i="2" a="1"/>
  <c r="C77" i="2" s="1"/>
  <c r="C183" i="2" a="1"/>
  <c r="C183" i="2" s="1"/>
  <c r="C188" i="2" a="1"/>
  <c r="C188" i="2" s="1"/>
  <c r="C197" i="2" a="1"/>
  <c r="C197" i="2" s="1"/>
  <c r="C201" i="2" a="1"/>
  <c r="C201" i="2" s="1"/>
  <c r="C207" i="2" a="1"/>
  <c r="C207" i="2" s="1"/>
  <c r="C212" i="2" a="1"/>
  <c r="C212" i="2" s="1"/>
  <c r="C218" i="2" a="1"/>
  <c r="C218" i="2" s="1"/>
  <c r="C226" i="2" a="1"/>
  <c r="C226" i="2" s="1"/>
  <c r="C382" i="2" a="1"/>
  <c r="C382" i="2" s="1"/>
  <c r="C560" i="2" a="1"/>
  <c r="C560" i="2" s="1"/>
  <c r="C567" i="2" a="1"/>
  <c r="C567" i="2" s="1"/>
  <c r="C600" i="2" a="1"/>
  <c r="C600" i="2" s="1"/>
  <c r="C638" i="2" a="1"/>
  <c r="C638" i="2" s="1"/>
  <c r="C647" i="2" a="1"/>
  <c r="C647" i="2" s="1"/>
  <c r="C680" i="2" a="1"/>
  <c r="C680" i="2" s="1"/>
  <c r="C720" i="2" a="1"/>
  <c r="C720" i="2" s="1"/>
  <c r="C729" i="2" a="1"/>
  <c r="C729" i="2" s="1"/>
  <c r="C803" i="2" a="1"/>
  <c r="C803" i="2" s="1"/>
  <c r="C875" i="2" a="1"/>
  <c r="C875" i="2" s="1"/>
  <c r="C890" i="2" a="1"/>
  <c r="C890" i="2" s="1"/>
  <c r="C79" i="2" a="1"/>
  <c r="C79" i="2" s="1"/>
  <c r="C184" i="2" a="1"/>
  <c r="C184" i="2" s="1"/>
  <c r="C190" i="2" a="1"/>
  <c r="C190" i="2" s="1"/>
  <c r="C195" i="2" a="1"/>
  <c r="C195" i="2" s="1"/>
  <c r="C200" i="2" a="1"/>
  <c r="C200" i="2" s="1"/>
  <c r="C204" i="2" a="1"/>
  <c r="C204" i="2" s="1"/>
  <c r="C209" i="2" a="1"/>
  <c r="C209" i="2" s="1"/>
  <c r="C214" i="2" a="1"/>
  <c r="C214" i="2" s="1"/>
  <c r="C219" i="2" a="1"/>
  <c r="C219" i="2" s="1"/>
  <c r="C222" i="2" a="1"/>
  <c r="C222" i="2" s="1"/>
  <c r="C231" i="2" a="1"/>
  <c r="C231" i="2" s="1"/>
  <c r="C303" i="2" a="1"/>
  <c r="C303" i="2" s="1"/>
  <c r="C559" i="2" a="1"/>
  <c r="C559" i="2" s="1"/>
  <c r="C718" i="2" a="1"/>
  <c r="C718" i="2" s="1"/>
  <c r="C726" i="2" a="1"/>
  <c r="C726" i="2" s="1"/>
  <c r="C794" i="2" a="1"/>
  <c r="C794" i="2" s="1"/>
  <c r="C878" i="2" a="1"/>
  <c r="C878" i="2" s="1"/>
  <c r="C595" i="2" a="1"/>
  <c r="C595" i="2" s="1"/>
  <c r="C682" i="2" a="1"/>
  <c r="C682" i="2" s="1"/>
  <c r="C129" i="2" a="1"/>
  <c r="C129" i="2" s="1"/>
  <c r="C161" i="2" a="1"/>
  <c r="C161" i="2" s="1"/>
  <c r="C193" i="2" a="1"/>
  <c r="C193" i="2" s="1"/>
  <c r="C225" i="2" a="1"/>
  <c r="C225" i="2" s="1"/>
  <c r="C257" i="2" a="1"/>
  <c r="C257" i="2" s="1"/>
  <c r="C289" i="2" a="1"/>
  <c r="C289" i="2" s="1"/>
  <c r="C321" i="2" a="1"/>
  <c r="C321" i="2" s="1"/>
  <c r="C353" i="2" a="1"/>
  <c r="C353" i="2" s="1"/>
  <c r="C385" i="2" a="1"/>
  <c r="C385" i="2" s="1"/>
  <c r="C417" i="2" a="1"/>
  <c r="C417" i="2" s="1"/>
  <c r="C449" i="2" a="1"/>
  <c r="C449" i="2" s="1"/>
  <c r="C481" i="2" a="1"/>
  <c r="C481" i="2" s="1"/>
  <c r="C513" i="2" a="1"/>
  <c r="C513" i="2" s="1"/>
  <c r="C545" i="2" a="1"/>
  <c r="C545" i="2" s="1"/>
  <c r="C577" i="2" a="1"/>
  <c r="C577" i="2" s="1"/>
  <c r="C609" i="2" a="1"/>
  <c r="C609" i="2" s="1"/>
  <c r="C641" i="2" a="1"/>
  <c r="C641" i="2" s="1"/>
  <c r="C673" i="2" a="1"/>
  <c r="C673" i="2" s="1"/>
  <c r="C705" i="2" a="1"/>
  <c r="C705" i="2" s="1"/>
  <c r="C737" i="2" a="1"/>
  <c r="C737" i="2" s="1"/>
  <c r="C769" i="2" a="1"/>
  <c r="C769" i="2" s="1"/>
  <c r="C801" i="2" a="1"/>
  <c r="C801" i="2" s="1"/>
  <c r="C833" i="2" a="1"/>
  <c r="C833" i="2" s="1"/>
  <c r="C865" i="2" a="1"/>
  <c r="C865" i="2" s="1"/>
  <c r="C897" i="2" a="1"/>
  <c r="C897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8" i="2" a="1"/>
  <c r="C78" i="2" s="1"/>
  <c r="C182" i="2" a="1"/>
  <c r="C182" i="2" s="1"/>
  <c r="C187" i="2" a="1"/>
  <c r="C187" i="2" s="1"/>
  <c r="C194" i="2" a="1"/>
  <c r="C194" i="2" s="1"/>
  <c r="C198" i="2" a="1"/>
  <c r="C198" i="2" s="1"/>
  <c r="C205" i="2" a="1"/>
  <c r="C205" i="2" s="1"/>
  <c r="C210" i="2" a="1"/>
  <c r="C210" i="2" s="1"/>
  <c r="C216" i="2" a="1"/>
  <c r="C216" i="2" s="1"/>
  <c r="C227" i="2" a="1"/>
  <c r="C227" i="2" s="1"/>
  <c r="C306" i="2" a="1"/>
  <c r="C306" i="2" s="1"/>
  <c r="C557" i="2" a="1"/>
  <c r="C557" i="2" s="1"/>
  <c r="C562" i="2" a="1"/>
  <c r="C562" i="2" s="1"/>
  <c r="C598" i="2" a="1"/>
  <c r="C598" i="2" s="1"/>
  <c r="C636" i="2" a="1"/>
  <c r="C636" i="2" s="1"/>
  <c r="C642" i="2" a="1"/>
  <c r="C642" i="2" s="1"/>
  <c r="C650" i="2" a="1"/>
  <c r="C650" i="2" s="1"/>
  <c r="C683" i="2" a="1"/>
  <c r="C683" i="2" s="1"/>
  <c r="C761" i="2" a="1"/>
  <c r="C761" i="2" s="1"/>
  <c r="C795" i="2" a="1"/>
  <c r="C795" i="2" s="1"/>
  <c r="C877" i="2" a="1"/>
  <c r="C877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 s="1"/>
  <c r="C152" i="2" a="1"/>
  <c r="C152" i="2" s="1"/>
  <c r="C153" i="2" a="1"/>
  <c r="C153" i="2" s="1"/>
  <c r="C154" i="2" a="1"/>
  <c r="C154" i="2" s="1"/>
  <c r="C155" i="2" a="1"/>
  <c r="C155" i="2" s="1"/>
  <c r="C185" i="2" a="1"/>
  <c r="C185" i="2" s="1"/>
  <c r="C189" i="2" a="1"/>
  <c r="C189" i="2" s="1"/>
  <c r="C196" i="2" a="1"/>
  <c r="C196" i="2" s="1"/>
  <c r="C199" i="2" a="1"/>
  <c r="C199" i="2" s="1"/>
  <c r="C203" i="2" a="1"/>
  <c r="C203" i="2" s="1"/>
  <c r="C208" i="2" a="1"/>
  <c r="C208" i="2" s="1"/>
  <c r="C213" i="2" a="1"/>
  <c r="C213" i="2" s="1"/>
  <c r="C217" i="2" a="1"/>
  <c r="C217" i="2" s="1"/>
  <c r="C221" i="2" a="1"/>
  <c r="C221" i="2" s="1"/>
  <c r="C229" i="2" a="1"/>
  <c r="C229" i="2" s="1"/>
  <c r="C304" i="2" a="1"/>
  <c r="C304" i="2" s="1"/>
  <c r="C381" i="2" a="1"/>
  <c r="C381" i="2" s="1"/>
  <c r="C563" i="2" a="1"/>
  <c r="C563" i="2" s="1"/>
  <c r="C596" i="2" a="1"/>
  <c r="C596" i="2" s="1"/>
  <c r="C604" i="2" a="1"/>
  <c r="C604" i="2" s="1"/>
  <c r="C637" i="2" a="1"/>
  <c r="C637" i="2" s="1"/>
  <c r="C648" i="2" a="1"/>
  <c r="C648" i="2" s="1"/>
  <c r="C681" i="2" a="1"/>
  <c r="C681" i="2" s="1"/>
  <c r="C717" i="2" a="1"/>
  <c r="C717" i="2" s="1"/>
  <c r="C725" i="2" a="1"/>
  <c r="C725" i="2" s="1"/>
  <c r="C792" i="2" a="1"/>
  <c r="C792" i="2" s="1"/>
  <c r="C881" i="2" a="1"/>
  <c r="C881" i="2" s="1"/>
  <c r="C166" i="2" a="1"/>
  <c r="C166" i="2" s="1"/>
  <c r="C167" i="2" a="1"/>
  <c r="C167" i="2" s="1"/>
  <c r="C168" i="2" a="1"/>
  <c r="C168" i="2" s="1"/>
  <c r="C169" i="2" a="1"/>
  <c r="C169" i="2" s="1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6" i="2" a="1"/>
  <c r="C186" i="2" s="1"/>
  <c r="C646" i="2" a="1"/>
  <c r="C646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2" i="2" a="1"/>
  <c r="C302" i="2" s="1"/>
  <c r="C380" i="2" a="1"/>
  <c r="C380" i="2" s="1"/>
  <c r="C566" i="2" a="1"/>
  <c r="C566" i="2" s="1"/>
  <c r="C605" i="2" a="1"/>
  <c r="C605" i="2" s="1"/>
  <c r="C677" i="2" a="1"/>
  <c r="C677" i="2" s="1"/>
  <c r="C715" i="2" a="1"/>
  <c r="C715" i="2" s="1"/>
  <c r="C730" i="2" a="1"/>
  <c r="C730" i="2" s="1"/>
  <c r="C798" i="2" a="1"/>
  <c r="C798" i="2" s="1"/>
  <c r="C882" i="2" a="1"/>
  <c r="C882" i="2" s="1"/>
  <c r="C327" i="2" a="1"/>
  <c r="C327" i="2" s="1"/>
  <c r="C328" i="2" a="1"/>
  <c r="C328" i="2" s="1"/>
  <c r="C329" i="2" a="1"/>
  <c r="C329" i="2" s="1"/>
  <c r="C330" i="2" a="1"/>
  <c r="C330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 s="1"/>
  <c r="C350" i="2" a="1"/>
  <c r="C350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 s="1"/>
  <c r="C359" i="2" a="1"/>
  <c r="C359" i="2" s="1"/>
  <c r="C360" i="2" a="1"/>
  <c r="C360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 s="1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 s="1"/>
  <c r="C568" i="2" a="1"/>
  <c r="C568" i="2" s="1"/>
  <c r="C602" i="2" a="1"/>
  <c r="C602" i="2" s="1"/>
  <c r="C645" i="2" a="1"/>
  <c r="C645" i="2" s="1"/>
  <c r="C685" i="2" a="1"/>
  <c r="C685" i="2" s="1"/>
  <c r="C723" i="2" a="1"/>
  <c r="C723" i="2" s="1"/>
  <c r="C808" i="2" a="1"/>
  <c r="C808" i="2" s="1"/>
  <c r="C867" i="2" a="1"/>
  <c r="C867" i="2" s="1"/>
  <c r="C889" i="2" a="1"/>
  <c r="C889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8" i="2" a="1"/>
  <c r="C418" i="2" s="1"/>
  <c r="C419" i="2" a="1"/>
  <c r="C419" i="2" s="1"/>
  <c r="C420" i="2" a="1"/>
  <c r="C420" i="2" s="1"/>
  <c r="C422" i="2" a="1"/>
  <c r="C422" i="2" s="1"/>
  <c r="C423" i="2" a="1"/>
  <c r="C423" i="2" s="1"/>
  <c r="C424" i="2" a="1"/>
  <c r="C424" i="2" s="1"/>
  <c r="C425" i="2" a="1"/>
  <c r="C425" i="2" s="1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 s="1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50" i="2" a="1"/>
  <c r="C450" i="2" s="1"/>
  <c r="C452" i="2" a="1"/>
  <c r="C452" i="2" s="1"/>
  <c r="C453" i="2" a="1"/>
  <c r="C453" i="2" s="1"/>
  <c r="C454" i="2" a="1"/>
  <c r="C454" i="2" s="1"/>
  <c r="C455" i="2" a="1"/>
  <c r="C455" i="2" s="1"/>
  <c r="C456" i="2" a="1"/>
  <c r="C456" i="2" s="1"/>
  <c r="C457" i="2" a="1"/>
  <c r="C457" i="2" s="1"/>
  <c r="C458" i="2" a="1"/>
  <c r="C458" i="2" s="1"/>
  <c r="C561" i="2" a="1"/>
  <c r="C561" i="2" s="1"/>
  <c r="C599" i="2" a="1"/>
  <c r="C599" i="2" s="1"/>
  <c r="C610" i="2" a="1"/>
  <c r="C610" i="2" s="1"/>
  <c r="C649" i="2" a="1"/>
  <c r="C649" i="2" s="1"/>
  <c r="C716" i="2" a="1"/>
  <c r="C716" i="2" s="1"/>
  <c r="C804" i="2" a="1"/>
  <c r="C804" i="2" s="1"/>
  <c r="C886" i="2" a="1"/>
  <c r="C886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 s="1"/>
  <c r="C514" i="2" a="1"/>
  <c r="C514" i="2" s="1"/>
  <c r="C515" i="2" a="1"/>
  <c r="C515" i="2" s="1"/>
  <c r="C516" i="2" a="1"/>
  <c r="C516" i="2" s="1"/>
  <c r="C517" i="2" a="1"/>
  <c r="C517" i="2" s="1"/>
  <c r="C518" i="2" a="1"/>
  <c r="C518" i="2" s="1"/>
  <c r="C519" i="2" a="1"/>
  <c r="C519" i="2" s="1"/>
  <c r="C520" i="2" a="1"/>
  <c r="C520" i="2" s="1"/>
  <c r="C521" i="2" a="1"/>
  <c r="C521" i="2" s="1"/>
  <c r="C522" i="2" a="1"/>
  <c r="C522" i="2" s="1"/>
  <c r="C523" i="2" a="1"/>
  <c r="C523" i="2" s="1"/>
  <c r="C524" i="2" a="1"/>
  <c r="C524" i="2" s="1"/>
  <c r="C525" i="2" a="1"/>
  <c r="C525" i="2" s="1"/>
  <c r="C526" i="2" a="1"/>
  <c r="C526" i="2" s="1"/>
  <c r="C527" i="2" a="1"/>
  <c r="C527" i="2" s="1"/>
  <c r="C528" i="2" a="1"/>
  <c r="C528" i="2" s="1"/>
  <c r="C529" i="2" a="1"/>
  <c r="C529" i="2" s="1"/>
  <c r="C530" i="2" a="1"/>
  <c r="C530" i="2" s="1"/>
  <c r="C531" i="2" a="1"/>
  <c r="C531" i="2" s="1"/>
  <c r="C532" i="2" a="1"/>
  <c r="C532" i="2" s="1"/>
  <c r="C533" i="2" a="1"/>
  <c r="C533" i="2" s="1"/>
  <c r="C534" i="2" a="1"/>
  <c r="C534" i="2" s="1"/>
  <c r="C594" i="2" a="1"/>
  <c r="C594" i="2" s="1"/>
  <c r="C606" i="2" a="1"/>
  <c r="C606" i="2" s="1"/>
  <c r="C644" i="2" a="1"/>
  <c r="C644" i="2" s="1"/>
  <c r="C684" i="2" a="1"/>
  <c r="C684" i="2" s="1"/>
  <c r="C722" i="2" a="1"/>
  <c r="C722" i="2" s="1"/>
  <c r="C880" i="2" a="1"/>
  <c r="C880" i="2" s="1"/>
  <c r="C569" i="2" a="1"/>
  <c r="C569" i="2" s="1"/>
  <c r="C570" i="2" a="1"/>
  <c r="C570" i="2" s="1"/>
  <c r="C572" i="2" a="1"/>
  <c r="C572" i="2" s="1"/>
  <c r="C573" i="2" a="1"/>
  <c r="C573" i="2" s="1"/>
  <c r="C574" i="2" a="1"/>
  <c r="C574" i="2" s="1"/>
  <c r="C578" i="2" a="1"/>
  <c r="C578" i="2" s="1"/>
  <c r="C579" i="2" a="1"/>
  <c r="C579" i="2" s="1"/>
  <c r="C580" i="2" a="1"/>
  <c r="C580" i="2" s="1"/>
  <c r="C581" i="2" a="1"/>
  <c r="C581" i="2" s="1"/>
  <c r="C582" i="2" a="1"/>
  <c r="C582" i="2" s="1"/>
  <c r="C583" i="2" a="1"/>
  <c r="C583" i="2" s="1"/>
  <c r="C584" i="2" a="1"/>
  <c r="C584" i="2" s="1"/>
  <c r="C585" i="2" a="1"/>
  <c r="C585" i="2" s="1"/>
  <c r="C586" i="2" a="1"/>
  <c r="C586" i="2" s="1"/>
  <c r="C587" i="2" a="1"/>
  <c r="C587" i="2" s="1"/>
  <c r="C588" i="2" a="1"/>
  <c r="C588" i="2" s="1"/>
  <c r="C589" i="2" a="1"/>
  <c r="C589" i="2" s="1"/>
  <c r="C590" i="2" a="1"/>
  <c r="C590" i="2" s="1"/>
  <c r="C591" i="2" a="1"/>
  <c r="C591" i="2" s="1"/>
  <c r="C592" i="2" a="1"/>
  <c r="C592" i="2" s="1"/>
  <c r="C593" i="2" a="1"/>
  <c r="C593" i="2" s="1"/>
  <c r="C714" i="2" a="1"/>
  <c r="C714" i="2" s="1"/>
  <c r="C802" i="2" a="1"/>
  <c r="C802" i="2" s="1"/>
  <c r="C651" i="2" a="1"/>
  <c r="C651" i="2" s="1"/>
  <c r="C652" i="2" a="1"/>
  <c r="C652" i="2" s="1"/>
  <c r="C653" i="2" a="1"/>
  <c r="C653" i="2" s="1"/>
  <c r="C654" i="2" a="1"/>
  <c r="C654" i="2" s="1"/>
  <c r="C655" i="2" a="1"/>
  <c r="C655" i="2" s="1"/>
  <c r="C656" i="2" a="1"/>
  <c r="C656" i="2" s="1"/>
  <c r="C657" i="2" a="1"/>
  <c r="C657" i="2" s="1"/>
  <c r="C658" i="2" a="1"/>
  <c r="C658" i="2" s="1"/>
  <c r="C659" i="2" a="1"/>
  <c r="C659" i="2" s="1"/>
  <c r="C660" i="2" a="1"/>
  <c r="C660" i="2" s="1"/>
  <c r="C662" i="2" a="1"/>
  <c r="C662" i="2" s="1"/>
  <c r="C663" i="2" a="1"/>
  <c r="C663" i="2" s="1"/>
  <c r="C664" i="2" a="1"/>
  <c r="C664" i="2" s="1"/>
  <c r="C665" i="2" a="1"/>
  <c r="C665" i="2" s="1"/>
  <c r="C666" i="2" a="1"/>
  <c r="C666" i="2" s="1"/>
  <c r="C667" i="2" a="1"/>
  <c r="C667" i="2" s="1"/>
  <c r="C668" i="2" a="1"/>
  <c r="C668" i="2" s="1"/>
  <c r="C669" i="2" a="1"/>
  <c r="C669" i="2" s="1"/>
  <c r="C670" i="2" a="1"/>
  <c r="C670" i="2" s="1"/>
  <c r="C674" i="2" a="1"/>
  <c r="C674" i="2" s="1"/>
  <c r="C675" i="2" a="1"/>
  <c r="C675" i="2" s="1"/>
  <c r="C676" i="2" a="1"/>
  <c r="C676" i="2" s="1"/>
  <c r="C679" i="2" a="1"/>
  <c r="C679" i="2" s="1"/>
  <c r="C724" i="2" a="1"/>
  <c r="C724" i="2" s="1"/>
  <c r="C731" i="2" a="1"/>
  <c r="C731" i="2" s="1"/>
  <c r="C732" i="2" a="1"/>
  <c r="C732" i="2" s="1"/>
  <c r="C733" i="2" a="1"/>
  <c r="C733" i="2" s="1"/>
  <c r="C734" i="2" a="1"/>
  <c r="C734" i="2" s="1"/>
  <c r="C738" i="2" a="1"/>
  <c r="C738" i="2" s="1"/>
  <c r="C739" i="2" a="1"/>
  <c r="C739" i="2" s="1"/>
  <c r="C740" i="2" a="1"/>
  <c r="C740" i="2" s="1"/>
  <c r="C741" i="2" a="1"/>
  <c r="C741" i="2" s="1"/>
  <c r="C742" i="2" a="1"/>
  <c r="C742" i="2" s="1"/>
  <c r="C743" i="2" a="1"/>
  <c r="C743" i="2" s="1"/>
  <c r="C744" i="2" a="1"/>
  <c r="C744" i="2" s="1"/>
  <c r="C745" i="2" a="1"/>
  <c r="C745" i="2" s="1"/>
  <c r="C746" i="2" a="1"/>
  <c r="C746" i="2" s="1"/>
  <c r="C747" i="2" a="1"/>
  <c r="C747" i="2" s="1"/>
  <c r="C748" i="2" a="1"/>
  <c r="C748" i="2" s="1"/>
  <c r="C749" i="2" a="1"/>
  <c r="C749" i="2" s="1"/>
  <c r="C750" i="2" a="1"/>
  <c r="C750" i="2" s="1"/>
  <c r="C752" i="2" a="1"/>
  <c r="C752" i="2" s="1"/>
  <c r="C753" i="2" a="1"/>
  <c r="C753" i="2" s="1"/>
  <c r="C754" i="2" a="1"/>
  <c r="C754" i="2" s="1"/>
  <c r="C755" i="2" a="1"/>
  <c r="C755" i="2" s="1"/>
  <c r="C756" i="2" a="1"/>
  <c r="C756" i="2" s="1"/>
  <c r="C757" i="2" a="1"/>
  <c r="C757" i="2" s="1"/>
  <c r="C758" i="2" a="1"/>
  <c r="C758" i="2" s="1"/>
  <c r="C759" i="2" a="1"/>
  <c r="C759" i="2" s="1"/>
  <c r="C760" i="2" a="1"/>
  <c r="C760" i="2" s="1"/>
  <c r="C812" i="2" a="1"/>
  <c r="C812" i="2" s="1"/>
  <c r="C813" i="2" a="1"/>
  <c r="C813" i="2" s="1"/>
  <c r="C814" i="2" a="1"/>
  <c r="C814" i="2" s="1"/>
  <c r="C815" i="2" a="1"/>
  <c r="C815" i="2" s="1"/>
  <c r="C816" i="2" a="1"/>
  <c r="C816" i="2" s="1"/>
  <c r="C817" i="2" a="1"/>
  <c r="C817" i="2" s="1"/>
  <c r="C818" i="2" a="1"/>
  <c r="C818" i="2" s="1"/>
  <c r="C819" i="2" a="1"/>
  <c r="C819" i="2" s="1"/>
  <c r="C820" i="2" a="1"/>
  <c r="C820" i="2" s="1"/>
  <c r="C821" i="2" a="1"/>
  <c r="C821" i="2" s="1"/>
  <c r="C822" i="2" a="1"/>
  <c r="C822" i="2" s="1"/>
  <c r="C823" i="2" a="1"/>
  <c r="C823" i="2" s="1"/>
  <c r="C824" i="2" a="1"/>
  <c r="C824" i="2" s="1"/>
  <c r="C825" i="2" a="1"/>
  <c r="C825" i="2" s="1"/>
  <c r="C826" i="2" a="1"/>
  <c r="C826" i="2" s="1"/>
  <c r="C827" i="2" a="1"/>
  <c r="C827" i="2" s="1"/>
  <c r="C828" i="2" a="1"/>
  <c r="C828" i="2" s="1"/>
  <c r="C829" i="2" a="1"/>
  <c r="C829" i="2" s="1"/>
  <c r="C830" i="2" a="1"/>
  <c r="C830" i="2" s="1"/>
  <c r="C834" i="2" a="1"/>
  <c r="C834" i="2" s="1"/>
  <c r="C835" i="2" a="1"/>
  <c r="C835" i="2" s="1"/>
  <c r="C836" i="2" a="1"/>
  <c r="C836" i="2" s="1"/>
  <c r="C837" i="2" a="1"/>
  <c r="C837" i="2" s="1"/>
  <c r="C892" i="2" a="1"/>
  <c r="C892" i="2" s="1"/>
  <c r="C893" i="2" a="1"/>
  <c r="C893" i="2" s="1"/>
  <c r="C894" i="2" a="1"/>
  <c r="C894" i="2" s="1"/>
  <c r="C898" i="2" a="1"/>
  <c r="C898" i="2" s="1"/>
  <c r="C899" i="2" a="1"/>
  <c r="C899" i="2" s="1"/>
  <c r="C900" i="2" a="1"/>
  <c r="C900" i="2" s="1"/>
  <c r="C797" i="2" a="1"/>
  <c r="C797" i="2" s="1"/>
  <c r="C866" i="2" a="1"/>
  <c r="C866" i="2" s="1"/>
  <c r="C879" i="2" a="1"/>
  <c r="C879" i="2" s="1"/>
  <c r="C869" i="2" a="1"/>
  <c r="C869" i="2" s="1"/>
  <c r="C883" i="2" a="1"/>
  <c r="C883" i="2" s="1"/>
  <c r="C237" i="2" a="1"/>
  <c r="C237" i="2" s="1"/>
  <c r="C223" i="2" a="1"/>
  <c r="C223" i="2" s="1"/>
  <c r="C238" i="2" a="1"/>
  <c r="C238" i="2" s="1"/>
  <c r="C224" i="2" a="1"/>
  <c r="C224" i="2" s="1"/>
  <c r="C271" i="2" a="1"/>
  <c r="C271" i="2" s="1"/>
  <c r="C255" i="2" a="1"/>
  <c r="C255" i="2" s="1"/>
  <c r="C475" i="2" a="1"/>
  <c r="C475" i="2" s="1"/>
  <c r="C447" i="2" a="1"/>
  <c r="C447" i="2" s="1"/>
  <c r="C476" i="2" a="1"/>
  <c r="C476" i="2" s="1"/>
  <c r="C448" i="2" a="1"/>
  <c r="C448" i="2" s="1"/>
  <c r="C546" i="2" a="1"/>
  <c r="C546" i="2" s="1"/>
  <c r="C512" i="2" a="1"/>
  <c r="C512" i="2" s="1"/>
  <c r="C613" i="2" a="1"/>
  <c r="C613" i="2" s="1"/>
  <c r="C575" i="2" a="1"/>
  <c r="C575" i="2" s="1"/>
  <c r="C614" i="2" a="1"/>
  <c r="C614" i="2" s="1"/>
  <c r="C576" i="2" a="1"/>
  <c r="C576" i="2" s="1"/>
  <c r="C783" i="2" a="1"/>
  <c r="C783" i="2" s="1"/>
  <c r="C735" i="2" a="1"/>
  <c r="C735" i="2" s="1"/>
  <c r="C784" i="2" a="1"/>
  <c r="C784" i="2" s="1"/>
  <c r="C736" i="2" a="1"/>
  <c r="C736" i="2" s="1"/>
  <c r="C851" i="2" a="1"/>
  <c r="C851" i="2" s="1"/>
  <c r="C799" i="2" a="1"/>
  <c r="C799" i="2" s="1"/>
  <c r="C852" i="2" a="1"/>
  <c r="C852" i="2" s="1"/>
  <c r="C800" i="2" a="1"/>
  <c r="C800" i="2" s="1"/>
  <c r="C885" i="2" a="1"/>
  <c r="C885" i="2" s="1"/>
  <c r="C831" i="2" a="1"/>
  <c r="C831" i="2" s="1"/>
  <c r="C953" i="2" a="1"/>
  <c r="C953" i="2" s="1"/>
  <c r="C895" i="2" a="1"/>
  <c r="C895" i="2" s="1"/>
  <c r="C954" i="2" a="1"/>
  <c r="C954" i="2" s="1"/>
  <c r="C896" i="2" a="1"/>
  <c r="C896" i="2" s="1"/>
  <c r="AR83" i="1"/>
  <c r="AR106" i="1"/>
  <c r="AR103" i="1"/>
  <c r="BW103" i="1" s="1"/>
  <c r="AR102" i="1"/>
  <c r="BW102" i="1" s="1"/>
  <c r="AR101" i="1"/>
  <c r="BQ101" i="1" s="1"/>
  <c r="AR100" i="1"/>
  <c r="BB100" i="1" s="1"/>
  <c r="AR99" i="1"/>
  <c r="BK99" i="1" s="1"/>
  <c r="AR96" i="1"/>
  <c r="BF96" i="1" s="1"/>
  <c r="AR95" i="1"/>
  <c r="AR94" i="1"/>
  <c r="AR91" i="1"/>
  <c r="BG91" i="1" s="1"/>
  <c r="AR90" i="1"/>
  <c r="BE75" i="1"/>
  <c r="BE92" i="1" s="1"/>
  <c r="AR89" i="1"/>
  <c r="BM89" i="1" s="1"/>
  <c r="AR87" i="1"/>
  <c r="BT87" i="1" s="1"/>
  <c r="AR84" i="1"/>
  <c r="AV84" i="1" s="1"/>
  <c r="AY75" i="1"/>
  <c r="AY104" i="1" s="1"/>
  <c r="AR79" i="1"/>
  <c r="BW79" i="1" s="1"/>
  <c r="AR78" i="1"/>
  <c r="BH78" i="1" s="1"/>
  <c r="BT82" i="1"/>
  <c r="BF80" i="1"/>
  <c r="BH80" i="1"/>
  <c r="BK80" i="1"/>
  <c r="BM80" i="1"/>
  <c r="BQ80" i="1"/>
  <c r="AV80" i="1"/>
  <c r="BR80" i="1"/>
  <c r="BT80" i="1"/>
  <c r="BA80" i="1"/>
  <c r="BW80" i="1"/>
  <c r="BD80" i="1"/>
  <c r="BG82" i="1"/>
  <c r="AU77" i="1"/>
  <c r="AZ104" i="1"/>
  <c r="BA104" i="1"/>
  <c r="BW104" i="1"/>
  <c r="BH104" i="1"/>
  <c r="BK104" i="1"/>
  <c r="BL104" i="1"/>
  <c r="AU104" i="1"/>
  <c r="BM104" i="1"/>
  <c r="AV104" i="1"/>
  <c r="BQ104" i="1"/>
  <c r="BS104" i="1"/>
  <c r="BT104" i="1"/>
  <c r="BA92" i="1"/>
  <c r="BH92" i="1"/>
  <c r="BK92" i="1"/>
  <c r="BL92" i="1"/>
  <c r="BM92" i="1"/>
  <c r="BP92" i="1"/>
  <c r="BT92" i="1"/>
  <c r="AV92" i="1"/>
  <c r="BW92" i="1"/>
  <c r="AZ92" i="1"/>
  <c r="BH82" i="1"/>
  <c r="BS77" i="1"/>
  <c r="BT77" i="1"/>
  <c r="AZ77" i="1"/>
  <c r="BF77" i="1"/>
  <c r="BW77" i="1"/>
  <c r="BG77" i="1"/>
  <c r="BA77" i="1"/>
  <c r="BH77" i="1"/>
  <c r="BK77" i="1"/>
  <c r="BL77" i="1"/>
  <c r="AV77" i="1"/>
  <c r="BM77" i="1"/>
  <c r="BM82" i="1"/>
  <c r="BA82" i="1"/>
  <c r="BK105" i="1"/>
  <c r="BL105" i="1"/>
  <c r="BM105" i="1"/>
  <c r="BP105" i="1"/>
  <c r="AV105" i="1"/>
  <c r="BQ105" i="1"/>
  <c r="BT105" i="1"/>
  <c r="AZ105" i="1"/>
  <c r="BW105" i="1"/>
  <c r="BA105" i="1"/>
  <c r="BC105" i="1"/>
  <c r="BD105" i="1"/>
  <c r="BH105" i="1"/>
  <c r="BS93" i="1"/>
  <c r="AZ93" i="1"/>
  <c r="BT93" i="1"/>
  <c r="BA93" i="1"/>
  <c r="BW93" i="1"/>
  <c r="BC93" i="1"/>
  <c r="BD93" i="1"/>
  <c r="BH93" i="1"/>
  <c r="BK93" i="1"/>
  <c r="BL93" i="1"/>
  <c r="BM93" i="1"/>
  <c r="BQ93" i="1"/>
  <c r="AV93" i="1"/>
  <c r="BR93" i="1"/>
  <c r="AV81" i="1"/>
  <c r="BS81" i="1"/>
  <c r="BT81" i="1"/>
  <c r="AZ81" i="1"/>
  <c r="BA81" i="1"/>
  <c r="BF81" i="1"/>
  <c r="BG81" i="1"/>
  <c r="BH81" i="1"/>
  <c r="BL81" i="1"/>
  <c r="BM81" i="1"/>
  <c r="AZ82" i="1"/>
  <c r="AT75" i="1"/>
  <c r="BL88" i="1"/>
  <c r="BW82" i="1"/>
  <c r="AQ34" i="1"/>
  <c r="AV82" i="1"/>
  <c r="AR98" i="1"/>
  <c r="BN98" i="1" s="1"/>
  <c r="AR86" i="1"/>
  <c r="BF86" i="1" s="1"/>
  <c r="AW75" i="1"/>
  <c r="AW81" i="1" s="1"/>
  <c r="BI75" i="1"/>
  <c r="BI104" i="1" s="1"/>
  <c r="BU75" i="1"/>
  <c r="BU104" i="1" s="1"/>
  <c r="AR97" i="1"/>
  <c r="BR97" i="1" s="1"/>
  <c r="AR85" i="1"/>
  <c r="BT85" i="1" s="1"/>
  <c r="AX75" i="1"/>
  <c r="BJ75" i="1"/>
  <c r="BJ104" i="1" s="1"/>
  <c r="BV75" i="1"/>
  <c r="BV81" i="1" s="1"/>
  <c r="BK81" i="1"/>
  <c r="BW81" i="1"/>
  <c r="BL82" i="1"/>
  <c r="BK82" i="1"/>
  <c r="BN104" i="1"/>
  <c r="BN77" i="1"/>
  <c r="BN81" i="1"/>
  <c r="BN93" i="1"/>
  <c r="BB105" i="1"/>
  <c r="BC104" i="1"/>
  <c r="BC77" i="1"/>
  <c r="BC81" i="1"/>
  <c r="BD104" i="1"/>
  <c r="BD81" i="1"/>
  <c r="BD77" i="1"/>
  <c r="BN92" i="1"/>
  <c r="BN105" i="1"/>
  <c r="BF92" i="1"/>
  <c r="BF105" i="1"/>
  <c r="BF104" i="1"/>
  <c r="BR81" i="1"/>
  <c r="BO80" i="1"/>
  <c r="BS80" i="1"/>
  <c r="BS92" i="1"/>
  <c r="BS105" i="1"/>
  <c r="AU93" i="1"/>
  <c r="BD92" i="1"/>
  <c r="AU81" i="1"/>
  <c r="BB104" i="1"/>
  <c r="BB77" i="1"/>
  <c r="BB81" i="1"/>
  <c r="BB93" i="1"/>
  <c r="BO104" i="1"/>
  <c r="BO77" i="1"/>
  <c r="BO81" i="1"/>
  <c r="BC80" i="1"/>
  <c r="BP104" i="1"/>
  <c r="BP81" i="1"/>
  <c r="BO105" i="1"/>
  <c r="BP93" i="1"/>
  <c r="BB80" i="1"/>
  <c r="BQ92" i="1"/>
  <c r="BQ77" i="1"/>
  <c r="BO93" i="1"/>
  <c r="BP80" i="1"/>
  <c r="BR92" i="1"/>
  <c r="BR105" i="1"/>
  <c r="BR104" i="1"/>
  <c r="BR77" i="1"/>
  <c r="BB82" i="1"/>
  <c r="BG80" i="1"/>
  <c r="BG92" i="1"/>
  <c r="BG105" i="1"/>
  <c r="BP77" i="1"/>
  <c r="BQ81" i="1"/>
  <c r="BN80" i="1"/>
  <c r="BG104" i="1"/>
  <c r="BG93" i="1"/>
  <c r="BC92" i="1"/>
  <c r="BO92" i="1"/>
  <c r="AU80" i="1"/>
  <c r="AU92" i="1"/>
  <c r="AU105" i="1"/>
  <c r="AU82" i="1"/>
  <c r="BF93" i="1"/>
  <c r="BB92" i="1"/>
  <c r="BS82" i="1"/>
  <c r="BN82" i="1"/>
  <c r="BL80" i="1"/>
  <c r="AZ80" i="1"/>
  <c r="AZ88" i="1"/>
  <c r="BC82" i="1"/>
  <c r="BN88" i="1"/>
  <c r="BM88" i="1"/>
  <c r="BC88" i="1"/>
  <c r="BO88" i="1"/>
  <c r="BD88" i="1"/>
  <c r="BP88" i="1"/>
  <c r="BQ88" i="1"/>
  <c r="BT88" i="1"/>
  <c r="BK88" i="1"/>
  <c r="BF88" i="1"/>
  <c r="BR88" i="1"/>
  <c r="BH88" i="1"/>
  <c r="BW88" i="1"/>
  <c r="AU88" i="1"/>
  <c r="BG88" i="1"/>
  <c r="BS88" i="1"/>
  <c r="AV88" i="1"/>
  <c r="BB88" i="1"/>
  <c r="BA88" i="1"/>
  <c r="BR82" i="1"/>
  <c r="BF82" i="1"/>
  <c r="BQ82" i="1"/>
  <c r="BP82" i="1"/>
  <c r="BD82" i="1"/>
  <c r="BO82" i="1"/>
  <c r="BM34" i="1"/>
  <c r="BF34" i="1"/>
  <c r="BE34" i="1"/>
  <c r="BR34" i="1"/>
  <c r="BP34" i="1"/>
  <c r="BO34" i="1"/>
  <c r="BG34" i="1"/>
  <c r="BV34" i="1"/>
  <c r="BH34" i="1"/>
  <c r="BU34" i="1"/>
  <c r="BX21" i="1"/>
  <c r="AY34" i="1"/>
  <c r="BX33" i="1"/>
  <c r="BT34" i="1"/>
  <c r="BX32" i="1"/>
  <c r="BS34" i="1"/>
  <c r="AX34" i="1"/>
  <c r="BX31" i="1"/>
  <c r="BX30" i="1"/>
  <c r="BX29" i="1"/>
  <c r="BX28" i="1"/>
  <c r="BX27" i="1"/>
  <c r="BX26" i="1"/>
  <c r="AV34" i="1"/>
  <c r="BX25" i="1"/>
  <c r="BX24" i="1"/>
  <c r="BL34" i="1"/>
  <c r="BK34" i="1"/>
  <c r="AZ34" i="1"/>
  <c r="BQ34" i="1"/>
  <c r="BJ34" i="1"/>
  <c r="BI34" i="1"/>
  <c r="BX17" i="1"/>
  <c r="BX16" i="1"/>
  <c r="AW34" i="1"/>
  <c r="BX13" i="1"/>
  <c r="BX23" i="1"/>
  <c r="BX12" i="1"/>
  <c r="BX8" i="1"/>
  <c r="BC34" i="1"/>
  <c r="BX7" i="1"/>
  <c r="BB34" i="1"/>
  <c r="BX6" i="1"/>
  <c r="BA34" i="1"/>
  <c r="BN34" i="1"/>
  <c r="BX22" i="1"/>
  <c r="BX20" i="1"/>
  <c r="BX19" i="1"/>
  <c r="BX18" i="1"/>
  <c r="BX15" i="1"/>
  <c r="BX14" i="1"/>
  <c r="AT34" i="1"/>
  <c r="BX10" i="1"/>
  <c r="BX9" i="1"/>
  <c r="BX4" i="1"/>
  <c r="BD34" i="1"/>
  <c r="BX5" i="1"/>
  <c r="BW34" i="1"/>
  <c r="BX11" i="1"/>
  <c r="AU34" i="1"/>
  <c r="AM3" i="1"/>
  <c r="AL30" i="1"/>
  <c r="AL29" i="1"/>
  <c r="AL31" i="1"/>
  <c r="AL32" i="1"/>
  <c r="AL33" i="1"/>
  <c r="AL16" i="1"/>
  <c r="AL18" i="1"/>
  <c r="AL17" i="1"/>
  <c r="AL14" i="1"/>
  <c r="AL11" i="1"/>
  <c r="AL13" i="1"/>
  <c r="D34" i="1"/>
  <c r="AK34" i="1"/>
  <c r="AW106" i="1" l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AV106" i="1"/>
  <c r="AU106" i="1"/>
  <c r="AT106" i="1"/>
  <c r="BA83" i="1"/>
  <c r="BM83" i="1"/>
  <c r="BW83" i="1"/>
  <c r="BK83" i="1"/>
  <c r="BD83" i="1"/>
  <c r="AZ83" i="1"/>
  <c r="BT83" i="1"/>
  <c r="BH83" i="1"/>
  <c r="BQ83" i="1"/>
  <c r="AU83" i="1"/>
  <c r="BR83" i="1"/>
  <c r="BN83" i="1"/>
  <c r="BC83" i="1"/>
  <c r="BL83" i="1"/>
  <c r="BF83" i="1"/>
  <c r="BW90" i="1"/>
  <c r="BH90" i="1"/>
  <c r="BP102" i="1"/>
  <c r="BP83" i="1"/>
  <c r="BG83" i="1"/>
  <c r="BS83" i="1"/>
  <c r="BB83" i="1"/>
  <c r="BO83" i="1"/>
  <c r="AV83" i="1"/>
  <c r="BB103" i="1"/>
  <c r="BM90" i="1"/>
  <c r="BB102" i="1"/>
  <c r="BN102" i="1"/>
  <c r="BD100" i="1"/>
  <c r="BC101" i="1"/>
  <c r="BF101" i="1"/>
  <c r="BO100" i="1"/>
  <c r="BC100" i="1"/>
  <c r="AZ101" i="1"/>
  <c r="BB101" i="1"/>
  <c r="AU101" i="1"/>
  <c r="BT101" i="1"/>
  <c r="BN100" i="1"/>
  <c r="BA91" i="1"/>
  <c r="BG90" i="1"/>
  <c r="AY84" i="1"/>
  <c r="BL102" i="1"/>
  <c r="BF87" i="1"/>
  <c r="BM102" i="1"/>
  <c r="BF102" i="1"/>
  <c r="BN91" i="1"/>
  <c r="BR91" i="1"/>
  <c r="BL91" i="1"/>
  <c r="AU90" i="1"/>
  <c r="BS91" i="1"/>
  <c r="AV91" i="1"/>
  <c r="BM91" i="1"/>
  <c r="BH91" i="1"/>
  <c r="BK90" i="1"/>
  <c r="AV90" i="1"/>
  <c r="BN90" i="1"/>
  <c r="BB90" i="1"/>
  <c r="BR90" i="1"/>
  <c r="BA89" i="1"/>
  <c r="AZ89" i="1"/>
  <c r="BB89" i="1"/>
  <c r="BH89" i="1"/>
  <c r="BH87" i="1"/>
  <c r="BW84" i="1"/>
  <c r="BK84" i="1"/>
  <c r="BB84" i="1"/>
  <c r="AZ84" i="1"/>
  <c r="BF84" i="1"/>
  <c r="AU84" i="1"/>
  <c r="BC84" i="1"/>
  <c r="BA84" i="1"/>
  <c r="BL84" i="1"/>
  <c r="BM84" i="1"/>
  <c r="BB79" i="1"/>
  <c r="BP78" i="1"/>
  <c r="BR78" i="1"/>
  <c r="BD91" i="1"/>
  <c r="BD90" i="1"/>
  <c r="BO91" i="1"/>
  <c r="BQ84" i="1"/>
  <c r="BT90" i="1"/>
  <c r="AZ91" i="1"/>
  <c r="BW91" i="1"/>
  <c r="AZ90" i="1"/>
  <c r="BN84" i="1"/>
  <c r="BR84" i="1"/>
  <c r="AY88" i="1"/>
  <c r="BK91" i="1"/>
  <c r="AV79" i="1"/>
  <c r="BT84" i="1"/>
  <c r="BO102" i="1"/>
  <c r="BN79" i="1"/>
  <c r="BC102" i="1"/>
  <c r="BH84" i="1"/>
  <c r="BK102" i="1"/>
  <c r="BT102" i="1"/>
  <c r="AZ102" i="1"/>
  <c r="BF85" i="1"/>
  <c r="AZ79" i="1"/>
  <c r="BR85" i="1"/>
  <c r="BT79" i="1"/>
  <c r="BH79" i="1"/>
  <c r="BC78" i="1"/>
  <c r="AU79" i="1"/>
  <c r="BF79" i="1"/>
  <c r="BD79" i="1"/>
  <c r="BM78" i="1"/>
  <c r="AZ98" i="1"/>
  <c r="BO78" i="1"/>
  <c r="BG79" i="1"/>
  <c r="BS79" i="1"/>
  <c r="BA79" i="1"/>
  <c r="BH103" i="1"/>
  <c r="BL103" i="1"/>
  <c r="BF103" i="1"/>
  <c r="BK103" i="1"/>
  <c r="BO103" i="1"/>
  <c r="BA103" i="1"/>
  <c r="AZ103" i="1"/>
  <c r="BG103" i="1"/>
  <c r="BS103" i="1"/>
  <c r="AU103" i="1"/>
  <c r="AV103" i="1"/>
  <c r="BR103" i="1"/>
  <c r="BM103" i="1"/>
  <c r="BN103" i="1"/>
  <c r="BG101" i="1"/>
  <c r="BH102" i="1"/>
  <c r="BG102" i="1"/>
  <c r="BQ102" i="1"/>
  <c r="BA102" i="1"/>
  <c r="BD102" i="1"/>
  <c r="AV102" i="1"/>
  <c r="BA101" i="1"/>
  <c r="BR102" i="1"/>
  <c r="BN101" i="1"/>
  <c r="BS102" i="1"/>
  <c r="BL100" i="1"/>
  <c r="BA100" i="1"/>
  <c r="BS100" i="1"/>
  <c r="BM101" i="1"/>
  <c r="AU100" i="1"/>
  <c r="BO101" i="1"/>
  <c r="BH100" i="1"/>
  <c r="BL101" i="1"/>
  <c r="BG100" i="1"/>
  <c r="BT100" i="1"/>
  <c r="BR100" i="1"/>
  <c r="BW100" i="1"/>
  <c r="BK100" i="1"/>
  <c r="BF100" i="1"/>
  <c r="BM100" i="1"/>
  <c r="BQ100" i="1"/>
  <c r="AV100" i="1"/>
  <c r="BP100" i="1"/>
  <c r="BT99" i="1"/>
  <c r="BB99" i="1"/>
  <c r="BG99" i="1"/>
  <c r="BR99" i="1"/>
  <c r="BS99" i="1"/>
  <c r="BM99" i="1"/>
  <c r="BQ99" i="1"/>
  <c r="BA99" i="1"/>
  <c r="BP99" i="1"/>
  <c r="BF99" i="1"/>
  <c r="BH99" i="1"/>
  <c r="BO99" i="1"/>
  <c r="AV99" i="1"/>
  <c r="BC99" i="1"/>
  <c r="BL99" i="1"/>
  <c r="AU99" i="1"/>
  <c r="AZ99" i="1"/>
  <c r="BD99" i="1"/>
  <c r="BW99" i="1"/>
  <c r="BN99" i="1"/>
  <c r="BS96" i="1"/>
  <c r="BO96" i="1"/>
  <c r="BA96" i="1"/>
  <c r="AU96" i="1"/>
  <c r="BM96" i="1"/>
  <c r="BJ96" i="1"/>
  <c r="BT96" i="1"/>
  <c r="BD96" i="1"/>
  <c r="BP96" i="1"/>
  <c r="BR96" i="1"/>
  <c r="BQ96" i="1"/>
  <c r="AY96" i="1"/>
  <c r="BK96" i="1"/>
  <c r="BW96" i="1"/>
  <c r="BH96" i="1"/>
  <c r="AV96" i="1"/>
  <c r="AZ96" i="1"/>
  <c r="BL96" i="1"/>
  <c r="BB96" i="1"/>
  <c r="BG96" i="1"/>
  <c r="BN96" i="1"/>
  <c r="BC96" i="1"/>
  <c r="AV95" i="1"/>
  <c r="AZ95" i="1"/>
  <c r="BW95" i="1"/>
  <c r="BR95" i="1"/>
  <c r="BH95" i="1"/>
  <c r="BP95" i="1"/>
  <c r="BT95" i="1"/>
  <c r="BQ95" i="1"/>
  <c r="BB95" i="1"/>
  <c r="BK95" i="1"/>
  <c r="AU95" i="1"/>
  <c r="BF95" i="1"/>
  <c r="BN95" i="1"/>
  <c r="BS95" i="1"/>
  <c r="BC95" i="1"/>
  <c r="BO95" i="1"/>
  <c r="BL95" i="1"/>
  <c r="BM95" i="1"/>
  <c r="BG95" i="1"/>
  <c r="BD95" i="1"/>
  <c r="BA95" i="1"/>
  <c r="BS94" i="1"/>
  <c r="BM94" i="1"/>
  <c r="BN94" i="1"/>
  <c r="BG94" i="1"/>
  <c r="BR94" i="1"/>
  <c r="BJ83" i="1"/>
  <c r="BJ95" i="1"/>
  <c r="AU91" i="1"/>
  <c r="BB91" i="1"/>
  <c r="BT91" i="1"/>
  <c r="BQ91" i="1"/>
  <c r="BP91" i="1"/>
  <c r="BF91" i="1"/>
  <c r="BC91" i="1"/>
  <c r="BR89" i="1"/>
  <c r="BW89" i="1"/>
  <c r="BJ89" i="1"/>
  <c r="BL89" i="1"/>
  <c r="BT89" i="1"/>
  <c r="BP89" i="1"/>
  <c r="BQ89" i="1"/>
  <c r="AV89" i="1"/>
  <c r="BS89" i="1"/>
  <c r="BD89" i="1"/>
  <c r="BN89" i="1"/>
  <c r="BG89" i="1"/>
  <c r="BK89" i="1"/>
  <c r="AY89" i="1"/>
  <c r="AU89" i="1"/>
  <c r="BC89" i="1"/>
  <c r="BF89" i="1"/>
  <c r="BO89" i="1"/>
  <c r="AV87" i="1"/>
  <c r="BP87" i="1"/>
  <c r="BW87" i="1"/>
  <c r="BC87" i="1"/>
  <c r="BG87" i="1"/>
  <c r="BB87" i="1"/>
  <c r="BA87" i="1"/>
  <c r="BE89" i="1"/>
  <c r="BE99" i="1"/>
  <c r="BE95" i="1"/>
  <c r="BE94" i="1"/>
  <c r="BE80" i="1"/>
  <c r="BE104" i="1"/>
  <c r="BE77" i="1"/>
  <c r="BE81" i="1"/>
  <c r="BE105" i="1"/>
  <c r="BE102" i="1"/>
  <c r="BE83" i="1"/>
  <c r="BE96" i="1"/>
  <c r="BE93" i="1"/>
  <c r="BE82" i="1"/>
  <c r="BE79" i="1"/>
  <c r="BE101" i="1"/>
  <c r="BE88" i="1"/>
  <c r="BE91" i="1"/>
  <c r="BE100" i="1"/>
  <c r="BQ87" i="1"/>
  <c r="BO87" i="1"/>
  <c r="BE87" i="1"/>
  <c r="BL87" i="1"/>
  <c r="BN87" i="1"/>
  <c r="AZ87" i="1"/>
  <c r="AU87" i="1"/>
  <c r="BK87" i="1"/>
  <c r="BR87" i="1"/>
  <c r="BD87" i="1"/>
  <c r="BS87" i="1"/>
  <c r="BM87" i="1"/>
  <c r="BD84" i="1"/>
  <c r="BS84" i="1"/>
  <c r="BG84" i="1"/>
  <c r="BE84" i="1"/>
  <c r="BO84" i="1"/>
  <c r="BP84" i="1"/>
  <c r="AT84" i="1"/>
  <c r="AY93" i="1"/>
  <c r="AY100" i="1"/>
  <c r="AY95" i="1"/>
  <c r="AY99" i="1"/>
  <c r="AY77" i="1"/>
  <c r="AY78" i="1"/>
  <c r="AY87" i="1"/>
  <c r="AY83" i="1"/>
  <c r="AY103" i="1"/>
  <c r="AY82" i="1"/>
  <c r="AY81" i="1"/>
  <c r="AY80" i="1"/>
  <c r="AY105" i="1"/>
  <c r="AY92" i="1"/>
  <c r="BW78" i="1"/>
  <c r="BD78" i="1"/>
  <c r="BE78" i="1"/>
  <c r="AZ78" i="1"/>
  <c r="AU78" i="1"/>
  <c r="BK78" i="1"/>
  <c r="BS78" i="1"/>
  <c r="BF78" i="1"/>
  <c r="BG78" i="1"/>
  <c r="BQ79" i="1"/>
  <c r="BB78" i="1"/>
  <c r="BP79" i="1"/>
  <c r="BT78" i="1"/>
  <c r="AV78" i="1"/>
  <c r="BM79" i="1"/>
  <c r="BO79" i="1"/>
  <c r="BL78" i="1"/>
  <c r="BR79" i="1"/>
  <c r="BA78" i="1"/>
  <c r="BN78" i="1"/>
  <c r="BQ78" i="1"/>
  <c r="BC79" i="1"/>
  <c r="AY79" i="1"/>
  <c r="AT103" i="1"/>
  <c r="BV89" i="1"/>
  <c r="BV101" i="1"/>
  <c r="BV100" i="1"/>
  <c r="BV105" i="1"/>
  <c r="BV84" i="1"/>
  <c r="BV95" i="1"/>
  <c r="BV87" i="1"/>
  <c r="BV92" i="1"/>
  <c r="BV82" i="1"/>
  <c r="BV93" i="1"/>
  <c r="BV103" i="1"/>
  <c r="BV83" i="1"/>
  <c r="BV96" i="1"/>
  <c r="BV88" i="1"/>
  <c r="BV80" i="1"/>
  <c r="BV104" i="1"/>
  <c r="BV77" i="1"/>
  <c r="BU102" i="1"/>
  <c r="BU96" i="1"/>
  <c r="BU95" i="1"/>
  <c r="BU85" i="1"/>
  <c r="BT103" i="1"/>
  <c r="BC103" i="1"/>
  <c r="BE103" i="1"/>
  <c r="BD103" i="1"/>
  <c r="AU102" i="1"/>
  <c r="BP103" i="1"/>
  <c r="BQ103" i="1"/>
  <c r="BW101" i="1"/>
  <c r="BH101" i="1"/>
  <c r="BK101" i="1"/>
  <c r="AV101" i="1"/>
  <c r="BR101" i="1"/>
  <c r="AY101" i="1"/>
  <c r="BS101" i="1"/>
  <c r="BP101" i="1"/>
  <c r="BD101" i="1"/>
  <c r="AZ100" i="1"/>
  <c r="BB98" i="1"/>
  <c r="BV97" i="1"/>
  <c r="BE97" i="1"/>
  <c r="BD97" i="1"/>
  <c r="BP97" i="1"/>
  <c r="BQ97" i="1"/>
  <c r="BN97" i="1"/>
  <c r="BS97" i="1"/>
  <c r="AY94" i="1"/>
  <c r="BD94" i="1"/>
  <c r="BV94" i="1"/>
  <c r="BP94" i="1"/>
  <c r="BF94" i="1"/>
  <c r="BC94" i="1"/>
  <c r="AV94" i="1"/>
  <c r="BH94" i="1"/>
  <c r="AZ94" i="1"/>
  <c r="AU94" i="1"/>
  <c r="BA94" i="1"/>
  <c r="BB94" i="1"/>
  <c r="BL94" i="1"/>
  <c r="BT94" i="1"/>
  <c r="BQ94" i="1"/>
  <c r="BU94" i="1"/>
  <c r="BO94" i="1"/>
  <c r="BJ103" i="1"/>
  <c r="BJ84" i="1"/>
  <c r="BJ101" i="1"/>
  <c r="BJ92" i="1"/>
  <c r="BJ82" i="1"/>
  <c r="BJ94" i="1"/>
  <c r="BK94" i="1"/>
  <c r="BW94" i="1"/>
  <c r="BI88" i="1"/>
  <c r="BI95" i="1"/>
  <c r="BI94" i="1"/>
  <c r="BI81" i="1"/>
  <c r="BI97" i="1"/>
  <c r="BI89" i="1"/>
  <c r="BI84" i="1"/>
  <c r="BJ99" i="1"/>
  <c r="BI87" i="1"/>
  <c r="BI93" i="1"/>
  <c r="BJ105" i="1"/>
  <c r="BJ77" i="1"/>
  <c r="BJ88" i="1"/>
  <c r="BJ87" i="1"/>
  <c r="BJ100" i="1"/>
  <c r="BI92" i="1"/>
  <c r="BI91" i="1"/>
  <c r="BI99" i="1"/>
  <c r="BI78" i="1"/>
  <c r="BI101" i="1"/>
  <c r="BI80" i="1"/>
  <c r="BI102" i="1"/>
  <c r="BI83" i="1"/>
  <c r="BI79" i="1"/>
  <c r="BI82" i="1"/>
  <c r="BI105" i="1"/>
  <c r="BI103" i="1"/>
  <c r="BI100" i="1"/>
  <c r="BO90" i="1"/>
  <c r="BC90" i="1"/>
  <c r="BJ90" i="1"/>
  <c r="BL90" i="1"/>
  <c r="BP90" i="1"/>
  <c r="BI90" i="1"/>
  <c r="BA90" i="1"/>
  <c r="BS90" i="1"/>
  <c r="BF90" i="1"/>
  <c r="BE90" i="1"/>
  <c r="BQ90" i="1"/>
  <c r="BK86" i="1"/>
  <c r="BO86" i="1"/>
  <c r="BN85" i="1"/>
  <c r="BB85" i="1"/>
  <c r="AY86" i="1"/>
  <c r="BR86" i="1"/>
  <c r="BM86" i="1"/>
  <c r="BB86" i="1"/>
  <c r="BJ86" i="1"/>
  <c r="BN86" i="1"/>
  <c r="BA86" i="1"/>
  <c r="AV86" i="1"/>
  <c r="BP86" i="1"/>
  <c r="BW86" i="1"/>
  <c r="BT86" i="1"/>
  <c r="BV86" i="1"/>
  <c r="BG86" i="1"/>
  <c r="AU86" i="1"/>
  <c r="BL86" i="1"/>
  <c r="AZ86" i="1"/>
  <c r="BS86" i="1"/>
  <c r="BE86" i="1"/>
  <c r="BC86" i="1"/>
  <c r="BI86" i="1"/>
  <c r="BU86" i="1"/>
  <c r="BH86" i="1"/>
  <c r="BQ86" i="1"/>
  <c r="BD86" i="1"/>
  <c r="BS85" i="1"/>
  <c r="BG85" i="1"/>
  <c r="AY102" i="1"/>
  <c r="AY90" i="1"/>
  <c r="AY91" i="1"/>
  <c r="AW80" i="1"/>
  <c r="AW91" i="1"/>
  <c r="AW78" i="1"/>
  <c r="AW99" i="1"/>
  <c r="AW96" i="1"/>
  <c r="AW87" i="1"/>
  <c r="AW104" i="1"/>
  <c r="AW83" i="1"/>
  <c r="AW97" i="1"/>
  <c r="AW100" i="1"/>
  <c r="AW105" i="1"/>
  <c r="AW92" i="1"/>
  <c r="AW95" i="1"/>
  <c r="AW89" i="1"/>
  <c r="AW101" i="1"/>
  <c r="AW84" i="1"/>
  <c r="BK79" i="1"/>
  <c r="AW82" i="1"/>
  <c r="AW86" i="1"/>
  <c r="AW88" i="1"/>
  <c r="BL79" i="1"/>
  <c r="AT89" i="1"/>
  <c r="AT88" i="1"/>
  <c r="AT100" i="1"/>
  <c r="AT87" i="1"/>
  <c r="AT77" i="1"/>
  <c r="AT86" i="1"/>
  <c r="AT83" i="1"/>
  <c r="AT105" i="1"/>
  <c r="AT96" i="1"/>
  <c r="AT95" i="1"/>
  <c r="AT104" i="1"/>
  <c r="AT93" i="1"/>
  <c r="AT90" i="1"/>
  <c r="AT80" i="1"/>
  <c r="AT92" i="1"/>
  <c r="AT91" i="1"/>
  <c r="AT82" i="1"/>
  <c r="AT99" i="1"/>
  <c r="AT94" i="1"/>
  <c r="AT79" i="1"/>
  <c r="AT101" i="1"/>
  <c r="AT78" i="1"/>
  <c r="BE98" i="1"/>
  <c r="AX82" i="1"/>
  <c r="BH98" i="1"/>
  <c r="BI98" i="1"/>
  <c r="AT97" i="1"/>
  <c r="BW98" i="1"/>
  <c r="BA98" i="1"/>
  <c r="BC85" i="1"/>
  <c r="AX92" i="1"/>
  <c r="BU84" i="1"/>
  <c r="AZ85" i="1"/>
  <c r="AX84" i="1"/>
  <c r="AX102" i="1"/>
  <c r="AX86" i="1"/>
  <c r="BK98" i="1"/>
  <c r="AX103" i="1"/>
  <c r="BT98" i="1"/>
  <c r="AV97" i="1"/>
  <c r="BU83" i="1"/>
  <c r="BU98" i="1"/>
  <c r="BF97" i="1"/>
  <c r="AX101" i="1"/>
  <c r="BU87" i="1"/>
  <c r="BC97" i="1"/>
  <c r="BP98" i="1"/>
  <c r="BU79" i="1"/>
  <c r="AY98" i="1"/>
  <c r="AW98" i="1"/>
  <c r="BO97" i="1"/>
  <c r="BL98" i="1"/>
  <c r="BH97" i="1"/>
  <c r="BU93" i="1"/>
  <c r="BU105" i="1"/>
  <c r="BU77" i="1"/>
  <c r="AX80" i="1"/>
  <c r="BC98" i="1"/>
  <c r="BD98" i="1"/>
  <c r="AT98" i="1"/>
  <c r="AY85" i="1"/>
  <c r="BA85" i="1"/>
  <c r="BK85" i="1"/>
  <c r="BL85" i="1"/>
  <c r="BM85" i="1"/>
  <c r="BV85" i="1"/>
  <c r="BW85" i="1"/>
  <c r="BG98" i="1"/>
  <c r="AW85" i="1"/>
  <c r="AX83" i="1"/>
  <c r="AX98" i="1"/>
  <c r="BU99" i="1"/>
  <c r="AU98" i="1"/>
  <c r="BU82" i="1"/>
  <c r="AX85" i="1"/>
  <c r="AX90" i="1"/>
  <c r="AX91" i="1"/>
  <c r="AX79" i="1"/>
  <c r="AX96" i="1"/>
  <c r="AV98" i="1"/>
  <c r="AX88" i="1"/>
  <c r="BJ85" i="1"/>
  <c r="AX97" i="1"/>
  <c r="AZ97" i="1"/>
  <c r="BA97" i="1"/>
  <c r="BJ97" i="1"/>
  <c r="BK97" i="1"/>
  <c r="BL97" i="1"/>
  <c r="BM97" i="1"/>
  <c r="BW97" i="1"/>
  <c r="BS98" i="1"/>
  <c r="BJ98" i="1"/>
  <c r="BU101" i="1"/>
  <c r="BU80" i="1"/>
  <c r="AY97" i="1"/>
  <c r="AX94" i="1"/>
  <c r="BI77" i="1"/>
  <c r="AX77" i="1"/>
  <c r="BE85" i="1"/>
  <c r="BI85" i="1"/>
  <c r="BV98" i="1"/>
  <c r="AX89" i="1"/>
  <c r="AX105" i="1"/>
  <c r="BU78" i="1"/>
  <c r="BU91" i="1"/>
  <c r="BU103" i="1"/>
  <c r="BQ85" i="1"/>
  <c r="AV85" i="1"/>
  <c r="BU88" i="1"/>
  <c r="BR98" i="1"/>
  <c r="BI96" i="1"/>
  <c r="AT81" i="1"/>
  <c r="BU81" i="1"/>
  <c r="BU92" i="1"/>
  <c r="BM98" i="1"/>
  <c r="BO85" i="1"/>
  <c r="BD85" i="1"/>
  <c r="BU97" i="1"/>
  <c r="AX95" i="1"/>
  <c r="AU97" i="1"/>
  <c r="AX100" i="1"/>
  <c r="AX93" i="1"/>
  <c r="BU90" i="1"/>
  <c r="BB97" i="1"/>
  <c r="BQ98" i="1"/>
  <c r="BV78" i="1"/>
  <c r="BV99" i="1"/>
  <c r="BV79" i="1"/>
  <c r="BV91" i="1"/>
  <c r="BV90" i="1"/>
  <c r="AW93" i="1"/>
  <c r="AW90" i="1"/>
  <c r="AW79" i="1"/>
  <c r="AW102" i="1"/>
  <c r="AW103" i="1"/>
  <c r="AW94" i="1"/>
  <c r="AT102" i="1"/>
  <c r="AX81" i="1"/>
  <c r="AW77" i="1"/>
  <c r="AX104" i="1"/>
  <c r="BO98" i="1"/>
  <c r="BH85" i="1"/>
  <c r="AX87" i="1"/>
  <c r="BP85" i="1"/>
  <c r="AT85" i="1"/>
  <c r="BT97" i="1"/>
  <c r="AU85" i="1"/>
  <c r="BG97" i="1"/>
  <c r="BU89" i="1"/>
  <c r="AX99" i="1"/>
  <c r="BU100" i="1"/>
  <c r="BF98" i="1"/>
  <c r="BJ93" i="1"/>
  <c r="BJ102" i="1"/>
  <c r="BJ91" i="1"/>
  <c r="BJ78" i="1"/>
  <c r="AX78" i="1"/>
  <c r="BV102" i="1"/>
  <c r="BJ79" i="1"/>
  <c r="BJ81" i="1"/>
  <c r="BJ80" i="1"/>
  <c r="BZ18" i="1"/>
  <c r="BZ31" i="1"/>
  <c r="BZ25" i="1"/>
  <c r="BZ26" i="1"/>
  <c r="BZ29" i="1"/>
  <c r="BZ28" i="1"/>
  <c r="BZ32" i="1"/>
  <c r="BZ24" i="1"/>
  <c r="BZ30" i="1"/>
  <c r="BZ19" i="1"/>
  <c r="BZ20" i="1"/>
  <c r="BZ23" i="1"/>
  <c r="BZ16" i="1"/>
  <c r="BZ21" i="1"/>
  <c r="BZ27" i="1"/>
  <c r="BZ33" i="1"/>
  <c r="BZ22" i="1"/>
  <c r="BZ17" i="1"/>
  <c r="BZ6" i="1"/>
  <c r="BZ9" i="1"/>
  <c r="BZ11" i="1"/>
  <c r="BZ10" i="1"/>
  <c r="BZ15" i="1"/>
  <c r="BZ13" i="1"/>
  <c r="BZ7" i="1"/>
  <c r="BZ8" i="1"/>
  <c r="BZ12" i="1"/>
  <c r="BZ5" i="1"/>
  <c r="BZ4" i="1"/>
  <c r="BZ14" i="1"/>
  <c r="AL35" i="1"/>
  <c r="AT109" i="1" l="1"/>
  <c r="AT110" i="1" s="1"/>
  <c r="AO37" i="1"/>
  <c r="AO3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<sst xmlns="http://schemas.openxmlformats.org/spreadsheetml/2006/main" count="48" uniqueCount="45">
  <si>
    <t>ID</t>
  </si>
  <si>
    <t>GCA</t>
  </si>
  <si>
    <t>SCA</t>
  </si>
  <si>
    <t>F</t>
  </si>
  <si>
    <t>M</t>
  </si>
  <si>
    <t>contrib</t>
  </si>
  <si>
    <t>Gain</t>
  </si>
  <si>
    <t>input NS =</t>
  </si>
  <si>
    <t>Total Gain =</t>
  </si>
  <si>
    <t>SCA/Total =</t>
  </si>
  <si>
    <t>Parent-specific contribution</t>
  </si>
  <si>
    <t>Cross-specific contribution</t>
  </si>
  <si>
    <t>Status number</t>
  </si>
  <si>
    <t>Group coancestry</t>
  </si>
  <si>
    <t>G matrix</t>
  </si>
  <si>
    <t>Upper M</t>
  </si>
  <si>
    <t>Upper F</t>
  </si>
  <si>
    <t>Final NS</t>
  </si>
  <si>
    <t>Cells with yellow color are output</t>
  </si>
  <si>
    <t>Cells with gree colur are input values</t>
  </si>
  <si>
    <t>List of input data required</t>
  </si>
  <si>
    <t>1. Estimated values of parental general combining ability (GCA) values in vector form with parental ID</t>
  </si>
  <si>
    <t>2. Estimated values of parental specific combining ability (SCA) in two dimentional matrix</t>
  </si>
  <si>
    <t>3. Estimated values of genomic relationship matrix (G) or Numerator pedigree based relationship matrix (A) in two dimentioal matrix form.</t>
  </si>
  <si>
    <t>Description and instruction for user</t>
  </si>
  <si>
    <t>Controlled Mass Pollination Optimization using Excel solver</t>
  </si>
  <si>
    <t>The following intruxtions are for providing input data</t>
  </si>
  <si>
    <t xml:space="preserve">Number of crosses </t>
  </si>
  <si>
    <r>
      <rPr>
        <b/>
        <sz val="11"/>
        <color theme="1"/>
        <rFont val="Aptos Narrow"/>
        <family val="2"/>
        <scheme val="minor"/>
      </rPr>
      <t xml:space="preserve">Step-1: </t>
    </r>
    <r>
      <rPr>
        <sz val="11"/>
        <color theme="1"/>
        <rFont val="Aptos Narrow"/>
        <family val="2"/>
        <scheme val="minor"/>
      </rPr>
      <t xml:space="preserve">Provide parental ID and their estimated general combing abiliy(GCA) values in </t>
    </r>
    <r>
      <rPr>
        <b/>
        <sz val="11"/>
        <color theme="1"/>
        <rFont val="Aptos Narrow"/>
        <family val="2"/>
        <scheme val="minor"/>
      </rPr>
      <t>B4:B33</t>
    </r>
    <r>
      <rPr>
        <sz val="11"/>
        <color theme="1"/>
        <rFont val="Aptos Narrow"/>
        <family val="2"/>
        <scheme val="minor"/>
      </rPr>
      <t xml:space="preserve"> of and </t>
    </r>
    <r>
      <rPr>
        <b/>
        <sz val="11"/>
        <color theme="1"/>
        <rFont val="Aptos Narrow"/>
        <family val="2"/>
        <scheme val="minor"/>
      </rPr>
      <t>C4:C33</t>
    </r>
    <r>
      <rPr>
        <sz val="11"/>
        <color theme="1"/>
        <rFont val="Aptos Narrow"/>
        <family val="2"/>
        <scheme val="minor"/>
      </rPr>
      <t xml:space="preserve">, respectively in sheet optimzation. </t>
    </r>
  </si>
  <si>
    <r>
      <rPr>
        <b/>
        <sz val="11"/>
        <color theme="1"/>
        <rFont val="Aptos Narrow"/>
        <family val="2"/>
        <scheme val="minor"/>
      </rPr>
      <t>Step-2</t>
    </r>
    <r>
      <rPr>
        <sz val="11"/>
        <color theme="1"/>
        <rFont val="Aptos Narrow"/>
        <family val="2"/>
        <scheme val="minor"/>
      </rPr>
      <t xml:space="preserve">: Provide SCA matrix in cells from </t>
    </r>
    <r>
      <rPr>
        <b/>
        <sz val="11"/>
        <color theme="1"/>
        <rFont val="Aptos Narrow"/>
        <family val="2"/>
        <scheme val="minor"/>
      </rPr>
      <t xml:space="preserve">F4:AI4 </t>
    </r>
    <r>
      <rPr>
        <sz val="11"/>
        <color theme="1"/>
        <rFont val="Aptos Narrow"/>
        <family val="2"/>
        <scheme val="minor"/>
      </rPr>
      <t xml:space="preserve">to </t>
    </r>
    <r>
      <rPr>
        <b/>
        <sz val="11"/>
        <color theme="1"/>
        <rFont val="Aptos Narrow"/>
        <family val="2"/>
        <scheme val="minor"/>
      </rPr>
      <t>F33:AI33</t>
    </r>
    <r>
      <rPr>
        <sz val="11"/>
        <color theme="1"/>
        <rFont val="Aptos Narrow"/>
        <family val="2"/>
        <scheme val="minor"/>
      </rPr>
      <t xml:space="preserve">. Make sure to paste parental IDs in cells </t>
    </r>
    <r>
      <rPr>
        <b/>
        <sz val="11"/>
        <color theme="1"/>
        <rFont val="Aptos Narrow"/>
        <family val="2"/>
        <scheme val="minor"/>
      </rPr>
      <t>F3:AI3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</si>
  <si>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 xml:space="preserve">Step-3: </t>
    </r>
    <r>
      <rPr>
        <sz val="11"/>
        <color theme="1"/>
        <rFont val="Aptos Narrow"/>
        <family val="2"/>
        <scheme val="minor"/>
      </rPr>
      <t>Provide relationship matrix (</t>
    </r>
    <r>
      <rPr>
        <b/>
        <sz val="11"/>
        <color theme="1"/>
        <rFont val="Aptos Narrow"/>
        <family val="2"/>
        <scheme val="minor"/>
      </rPr>
      <t>G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) in cells </t>
    </r>
    <r>
      <rPr>
        <b/>
        <sz val="11"/>
        <color theme="1"/>
        <rFont val="Aptos Narrow"/>
        <family val="2"/>
        <scheme val="minor"/>
      </rPr>
      <t>AT43:BW43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AT72:BW72</t>
    </r>
    <r>
      <rPr>
        <sz val="11"/>
        <color theme="1"/>
        <rFont val="Aptos Narrow"/>
        <family val="2"/>
        <scheme val="minor"/>
      </rPr>
      <t xml:space="preserve">. Make use to provide parental IDs in cells rows </t>
    </r>
    <r>
      <rPr>
        <b/>
        <sz val="11"/>
        <color theme="1"/>
        <rFont val="Aptos Narrow"/>
        <family val="2"/>
        <scheme val="minor"/>
      </rPr>
      <t>AS43:A72</t>
    </r>
    <r>
      <rPr>
        <sz val="11"/>
        <color theme="1"/>
        <rFont val="Aptos Narrow"/>
        <family val="2"/>
        <scheme val="minor"/>
      </rPr>
      <t xml:space="preserve"> and column </t>
    </r>
    <r>
      <rPr>
        <b/>
        <sz val="11"/>
        <color theme="1"/>
        <rFont val="Aptos Narrow"/>
        <family val="2"/>
        <scheme val="minor"/>
      </rPr>
      <t>AT42:BW42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</si>
  <si>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Step-4:</t>
    </r>
    <r>
      <rPr>
        <sz val="11"/>
        <color theme="1"/>
        <rFont val="Aptos Narrow"/>
        <family val="2"/>
        <scheme val="minor"/>
      </rPr>
      <t xml:space="preserve"> Provide maximul limit of proportion of a parent being used as male parent in column </t>
    </r>
    <r>
      <rPr>
        <b/>
        <sz val="11"/>
        <color theme="1"/>
        <rFont val="Aptos Narrow"/>
        <family val="2"/>
        <scheme val="minor"/>
      </rPr>
      <t>AO4:AO33</t>
    </r>
    <r>
      <rPr>
        <sz val="11"/>
        <color theme="1"/>
        <rFont val="Aptos Narrow"/>
        <family val="2"/>
        <scheme val="minor"/>
      </rPr>
      <t xml:space="preserve"> and female parent in column </t>
    </r>
    <r>
      <rPr>
        <b/>
        <sz val="11"/>
        <color theme="1"/>
        <rFont val="Aptos Narrow"/>
        <family val="2"/>
        <scheme val="minor"/>
      </rPr>
      <t>AP4:AP33</t>
    </r>
    <r>
      <rPr>
        <sz val="11"/>
        <color theme="1"/>
        <rFont val="Aptos Narrow"/>
        <family val="2"/>
        <scheme val="minor"/>
      </rPr>
      <t>. Users may decide what proportion of parents to be used as male or female depending on their reproductive materials availability (pollen/strobili).</t>
    </r>
  </si>
  <si>
    <r>
      <rPr>
        <b/>
        <sz val="11"/>
        <color theme="1"/>
        <rFont val="Aptos Narrow"/>
        <family val="2"/>
        <scheme val="minor"/>
      </rPr>
      <t>Step-5</t>
    </r>
    <r>
      <rPr>
        <sz val="11"/>
        <color theme="1"/>
        <rFont val="Aptos Narrow"/>
        <family val="2"/>
        <scheme val="minor"/>
      </rPr>
      <t xml:space="preserve">: Provide deriable diversity contraints as status number </t>
    </r>
    <r>
      <rPr>
        <i/>
        <sz val="11"/>
        <color theme="1"/>
        <rFont val="Aptos Narrow"/>
        <family val="2"/>
        <scheme val="minor"/>
      </rPr>
      <t>N</t>
    </r>
    <r>
      <rPr>
        <i/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in cell </t>
    </r>
    <r>
      <rPr>
        <b/>
        <sz val="11"/>
        <color theme="1"/>
        <rFont val="Aptos Narrow"/>
        <family val="2"/>
        <scheme val="minor"/>
      </rPr>
      <t>AL37</t>
    </r>
  </si>
  <si>
    <t>The following instruction to run solver function</t>
  </si>
  <si>
    <t>Click sover</t>
  </si>
  <si>
    <t>Click Data in the toolbar</t>
  </si>
  <si>
    <t>Click solve button</t>
  </si>
  <si>
    <r>
      <rPr>
        <b/>
        <sz val="11"/>
        <color theme="1"/>
        <rFont val="Aptos Narrow"/>
        <family val="2"/>
        <scheme val="minor"/>
      </rPr>
      <t>Step-6:</t>
    </r>
    <r>
      <rPr>
        <sz val="11"/>
        <color theme="1"/>
        <rFont val="Aptos Narrow"/>
        <family val="2"/>
        <scheme val="minor"/>
      </rPr>
      <t xml:space="preserve"> Provide desirable number of controlled crossed in cell </t>
    </r>
    <r>
      <rPr>
        <b/>
        <sz val="11"/>
        <color theme="1"/>
        <rFont val="Aptos Narrow"/>
        <family val="2"/>
        <scheme val="minor"/>
      </rPr>
      <t>AV1</t>
    </r>
  </si>
  <si>
    <r>
      <t xml:space="preserve">Final out put of controlled mass pollination plan for each pair of parents can be seen in </t>
    </r>
    <r>
      <rPr>
        <b/>
        <sz val="11"/>
        <color theme="1"/>
        <rFont val="Aptos Narrow"/>
        <family val="2"/>
        <scheme val="minor"/>
      </rPr>
      <t>AT4:BW4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AT33:BW33</t>
    </r>
  </si>
  <si>
    <t>Total gain can be seen in cell AO37</t>
  </si>
  <si>
    <t>Proportion of SCA contribution in total gain can bee seen in cell AO38</t>
  </si>
  <si>
    <t xml:space="preserve">Note: We provide this optimization tool for 30 seed orchard parents, user may expand the rows and column of input data if the seed orchard parents are more than 30. </t>
  </si>
  <si>
    <t>For further details please contact:</t>
  </si>
  <si>
    <t>csagariya@gmail.com</t>
  </si>
  <si>
    <t xml:space="preserve">lstiburek@fld.czu.cz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</si>
</sst>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0.0000000000000000"/>
    <numFmt numFmtId="167" formatCode="0.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4" borderId="2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4" borderId="11" xfId="0" applyFill="1" applyBorder="1"/>
    <xf numFmtId="0" fontId="0" fillId="0" borderId="3" xfId="0" applyBorder="1" applyAlignment="1">
      <alignment horizontal="center"/>
    </xf>
    <xf numFmtId="0" fontId="0" fillId="0" borderId="16" xfId="0" applyBorder="1"/>
    <xf numFmtId="0" fontId="1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7" fillId="2" borderId="0" xfId="0" applyFont="1" applyFill="1"/>
    <xf numFmtId="0" fontId="1" fillId="5" borderId="2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7" fillId="0" borderId="24" xfId="0" applyFont="1" applyBorder="1"/>
    <xf numFmtId="0" fontId="1" fillId="0" borderId="25" xfId="0" applyFont="1" applyBorder="1" applyAlignment="1">
      <alignment horizontal="center"/>
    </xf>
    <xf numFmtId="164" fontId="3" fillId="3" borderId="11" xfId="0" applyNumberFormat="1" applyFont="1" applyFill="1" applyBorder="1"/>
    <xf numFmtId="165" fontId="2" fillId="3" borderId="13" xfId="0" applyNumberFormat="1" applyFont="1" applyFill="1" applyBorder="1"/>
    <xf numFmtId="165" fontId="5" fillId="3" borderId="7" xfId="0" applyNumberFormat="1" applyFont="1" applyFill="1" applyBorder="1"/>
    <xf numFmtId="165" fontId="5" fillId="3" borderId="9" xfId="0" applyNumberFormat="1" applyFont="1" applyFill="1" applyBorder="1"/>
    <xf numFmtId="165" fontId="2" fillId="3" borderId="23" xfId="0" applyNumberFormat="1" applyFont="1" applyFill="1" applyBorder="1"/>
    <xf numFmtId="165" fontId="2" fillId="3" borderId="9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center"/>
    </xf>
    <xf numFmtId="11" fontId="0" fillId="4" borderId="1" xfId="0" applyNumberFormat="1" applyFill="1" applyBorder="1"/>
    <xf numFmtId="2" fontId="11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0" fillId="6" borderId="0" xfId="0" applyFill="1"/>
    <xf numFmtId="0" fontId="1" fillId="0" borderId="0" xfId="0" applyFont="1"/>
    <xf numFmtId="0" fontId="1" fillId="6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0" fillId="3" borderId="0" xfId="0" applyNumberFormat="1" applyFill="1"/>
    <xf numFmtId="0" fontId="12" fillId="0" borderId="0" xfId="0" applyFont="1"/>
    <xf numFmtId="165" fontId="0" fillId="0" borderId="0" xfId="0" applyNumberFormat="1"/>
    <xf numFmtId="0" fontId="0" fillId="3" borderId="7" xfId="0" applyFill="1" applyBorder="1"/>
    <xf numFmtId="0" fontId="13" fillId="0" borderId="0" xfId="0" applyFont="1"/>
    <xf numFmtId="0" fontId="14" fillId="0" borderId="0" xfId="0" applyFont="1"/>
    <xf numFmtId="0" fontId="13" fillId="7" borderId="20" xfId="0" applyFont="1" applyFill="1" applyBorder="1"/>
    <xf numFmtId="0" fontId="6" fillId="7" borderId="21" xfId="0" applyFont="1" applyFill="1" applyBorder="1"/>
    <xf numFmtId="165" fontId="0" fillId="3" borderId="0" xfId="0" applyNumberFormat="1" applyFill="1"/>
    <xf numFmtId="0" fontId="0" fillId="7" borderId="0" xfId="0" applyFill="1"/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4" borderId="0" xfId="0" applyFill="1" applyBorder="1"/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8" borderId="0" xfId="0" applyFont="1" applyFill="1" applyAlignment="1">
      <alignment horizontal="left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Optimization!$CD$4:$CD$33</c:f>
              <c:numCache>
                <c:formatCode>General</c:formatCode>
                <c:ptCount val="30"/>
                <c:pt idx="0">
                  <c:v>2.1480472749501801E-2</c:v>
                </c:pt>
                <c:pt idx="1">
                  <c:v>-0.776893958139101</c:v>
                </c:pt>
                <c:pt idx="2">
                  <c:v>0.84872050089753504</c:v>
                </c:pt>
                <c:pt idx="3">
                  <c:v>-1.4798982060638699</c:v>
                </c:pt>
                <c:pt idx="4">
                  <c:v>0.150842686937322</c:v>
                </c:pt>
                <c:pt idx="5">
                  <c:v>0.44424194900973002</c:v>
                </c:pt>
                <c:pt idx="6">
                  <c:v>-1.6507078436493901E-2</c:v>
                </c:pt>
                <c:pt idx="7">
                  <c:v>0.70231000920858999</c:v>
                </c:pt>
                <c:pt idx="8">
                  <c:v>1.4631251659512401</c:v>
                </c:pt>
                <c:pt idx="9">
                  <c:v>0.63496901828990904</c:v>
                </c:pt>
                <c:pt idx="10">
                  <c:v>-0.20707581177443199</c:v>
                </c:pt>
                <c:pt idx="11">
                  <c:v>-0.61269409169411204</c:v>
                </c:pt>
                <c:pt idx="12">
                  <c:v>0.64786087361003097</c:v>
                </c:pt>
                <c:pt idx="13">
                  <c:v>-1.7737961416533701</c:v>
                </c:pt>
                <c:pt idx="14">
                  <c:v>3.1494589192657902E-3</c:v>
                </c:pt>
                <c:pt idx="15">
                  <c:v>0.160448176777199</c:v>
                </c:pt>
                <c:pt idx="16">
                  <c:v>-1.1057766407718601</c:v>
                </c:pt>
                <c:pt idx="17">
                  <c:v>0.99290622508019399</c:v>
                </c:pt>
                <c:pt idx="18">
                  <c:v>0.568112532718829</c:v>
                </c:pt>
                <c:pt idx="19">
                  <c:v>0.72505214984788802</c:v>
                </c:pt>
                <c:pt idx="20">
                  <c:v>-1.0248550139501</c:v>
                </c:pt>
                <c:pt idx="21">
                  <c:v>0.347267391448704</c:v>
                </c:pt>
                <c:pt idx="22">
                  <c:v>0.93519631204917897</c:v>
                </c:pt>
                <c:pt idx="23">
                  <c:v>-0.61847720715231802</c:v>
                </c:pt>
                <c:pt idx="24">
                  <c:v>-0.62365580821993605</c:v>
                </c:pt>
                <c:pt idx="25">
                  <c:v>0.18182197569224501</c:v>
                </c:pt>
                <c:pt idx="26">
                  <c:v>-0.47583168572865397</c:v>
                </c:pt>
                <c:pt idx="27">
                  <c:v>-7.8833803397557703E-2</c:v>
                </c:pt>
                <c:pt idx="28">
                  <c:v>0.67748319148169001</c:v>
                </c:pt>
                <c:pt idx="29">
                  <c:v>1.6397195168077701E-2</c:v>
                </c:pt>
              </c:numCache>
            </c:numRef>
          </c:xVal>
          <c:yVal>
            <c:numRef>
              <c:f>Optimization!$BZ$4:$BZ$33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0</c:v>
                </c:pt>
                <c:pt idx="8">
                  <c:v>469</c:v>
                </c:pt>
                <c:pt idx="9">
                  <c:v>0</c:v>
                </c:pt>
                <c:pt idx="10">
                  <c:v>916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976</c:v>
                </c:pt>
                <c:pt idx="15">
                  <c:v>0</c:v>
                </c:pt>
                <c:pt idx="16">
                  <c:v>149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567</c:v>
                </c:pt>
                <c:pt idx="21">
                  <c:v>0</c:v>
                </c:pt>
                <c:pt idx="22">
                  <c:v>565</c:v>
                </c:pt>
                <c:pt idx="23">
                  <c:v>405</c:v>
                </c:pt>
                <c:pt idx="24">
                  <c:v>0</c:v>
                </c:pt>
                <c:pt idx="25">
                  <c:v>445</c:v>
                </c:pt>
                <c:pt idx="26">
                  <c:v>1415</c:v>
                </c:pt>
                <c:pt idx="27">
                  <c:v>0</c:v>
                </c:pt>
                <c:pt idx="28">
                  <c:v>705</c:v>
                </c:pt>
                <c:pt idx="29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D9-40F4-830F-588CBD2DF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60544"/>
        <c:axId val="1514459584"/>
      </c:scatterChart>
      <c:valAx>
        <c:axId val="15144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584"/>
        <c:crosses val="autoZero"/>
        <c:crossBetween val="midCat"/>
      </c:valAx>
      <c:valAx>
        <c:axId val="15144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Parent-specific contribution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544"/>
        <c:crossesAt val="-2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SCA_flatten!$B$1:$B$1024</c:f>
              <c:numCache>
                <c:formatCode>General</c:formatCode>
                <c:ptCount val="1024"/>
                <c:pt idx="0">
                  <c:v>0</c:v>
                </c:pt>
                <c:pt idx="1">
                  <c:v>1.6365299839493099</c:v>
                </c:pt>
                <c:pt idx="2">
                  <c:v>0.14443891944626999</c:v>
                </c:pt>
                <c:pt idx="3">
                  <c:v>-0.130353885302981</c:v>
                </c:pt>
                <c:pt idx="4">
                  <c:v>0.65183593504495996</c:v>
                </c:pt>
                <c:pt idx="5">
                  <c:v>0.107158130483926</c:v>
                </c:pt>
                <c:pt idx="6">
                  <c:v>-1.4849538298842799</c:v>
                </c:pt>
                <c:pt idx="7">
                  <c:v>-5.5826056726997898E-2</c:v>
                </c:pt>
                <c:pt idx="8">
                  <c:v>0.233100622645561</c:v>
                </c:pt>
                <c:pt idx="9">
                  <c:v>-0.55120302390134401</c:v>
                </c:pt>
                <c:pt idx="10">
                  <c:v>-8.3762498111901798E-3</c:v>
                </c:pt>
                <c:pt idx="11">
                  <c:v>-1.59175273253584</c:v>
                </c:pt>
                <c:pt idx="12">
                  <c:v>0.48265320860602501</c:v>
                </c:pt>
                <c:pt idx="13">
                  <c:v>0.42670491961294399</c:v>
                </c:pt>
                <c:pt idx="14">
                  <c:v>0.21735478943887299</c:v>
                </c:pt>
                <c:pt idx="15">
                  <c:v>-0.74091371752017399</c:v>
                </c:pt>
                <c:pt idx="16">
                  <c:v>1.18553095114982</c:v>
                </c:pt>
                <c:pt idx="17">
                  <c:v>0.73219835913706699</c:v>
                </c:pt>
                <c:pt idx="18">
                  <c:v>-1.34738136129875</c:v>
                </c:pt>
                <c:pt idx="19">
                  <c:v>0.54829275156579604</c:v>
                </c:pt>
                <c:pt idx="20">
                  <c:v>-0.48096575605381903</c:v>
                </c:pt>
                <c:pt idx="21">
                  <c:v>-0.27486141415267401</c:v>
                </c:pt>
                <c:pt idx="22">
                  <c:v>0.40771738138442598</c:v>
                </c:pt>
                <c:pt idx="23">
                  <c:v>-1.07955909697361</c:v>
                </c:pt>
                <c:pt idx="24">
                  <c:v>-0.399086772003309</c:v>
                </c:pt>
                <c:pt idx="25">
                  <c:v>-0.29849895313538799</c:v>
                </c:pt>
                <c:pt idx="26">
                  <c:v>-0.123061200463822</c:v>
                </c:pt>
                <c:pt idx="27">
                  <c:v>-0.10603838279668901</c:v>
                </c:pt>
                <c:pt idx="28">
                  <c:v>-1.3282765069042199</c:v>
                </c:pt>
                <c:pt idx="29">
                  <c:v>1.2318340230076601</c:v>
                </c:pt>
                <c:pt idx="30">
                  <c:v>1.6365299839493099</c:v>
                </c:pt>
                <c:pt idx="31">
                  <c:v>0</c:v>
                </c:pt>
                <c:pt idx="32">
                  <c:v>-0.82264505402077803</c:v>
                </c:pt>
                <c:pt idx="33">
                  <c:v>0.28425622597655298</c:v>
                </c:pt>
                <c:pt idx="34">
                  <c:v>0.11543158508142599</c:v>
                </c:pt>
                <c:pt idx="35">
                  <c:v>0.29080761148566098</c:v>
                </c:pt>
                <c:pt idx="36">
                  <c:v>0.87348694870903398</c:v>
                </c:pt>
                <c:pt idx="37">
                  <c:v>0.86840686751216201</c:v>
                </c:pt>
                <c:pt idx="38">
                  <c:v>-0.74805022331696003</c:v>
                </c:pt>
                <c:pt idx="39">
                  <c:v>-0.53243155290007504</c:v>
                </c:pt>
                <c:pt idx="40">
                  <c:v>0.55826105369667101</c:v>
                </c:pt>
                <c:pt idx="41">
                  <c:v>0.25207588096982297</c:v>
                </c:pt>
                <c:pt idx="42">
                  <c:v>-0.76817790759372895</c:v>
                </c:pt>
                <c:pt idx="43">
                  <c:v>-0.56065515351138095</c:v>
                </c:pt>
                <c:pt idx="44">
                  <c:v>0.23868079185138599</c:v>
                </c:pt>
                <c:pt idx="45">
                  <c:v>-0.51998536791433203</c:v>
                </c:pt>
                <c:pt idx="46">
                  <c:v>0.82943828868754499</c:v>
                </c:pt>
                <c:pt idx="47">
                  <c:v>0.74021598554684498</c:v>
                </c:pt>
                <c:pt idx="48">
                  <c:v>-0.76137589916465598</c:v>
                </c:pt>
                <c:pt idx="49">
                  <c:v>0.65205850657589703</c:v>
                </c:pt>
                <c:pt idx="50">
                  <c:v>-1.2483209207069501</c:v>
                </c:pt>
                <c:pt idx="51">
                  <c:v>0.72726529968932996</c:v>
                </c:pt>
                <c:pt idx="52">
                  <c:v>0.240173956648113</c:v>
                </c:pt>
                <c:pt idx="53">
                  <c:v>1.43037744714909</c:v>
                </c:pt>
                <c:pt idx="54">
                  <c:v>0.73773059316831002</c:v>
                </c:pt>
                <c:pt idx="55">
                  <c:v>-1.18371381814941</c:v>
                </c:pt>
                <c:pt idx="56">
                  <c:v>1.3568087572805801E-2</c:v>
                </c:pt>
                <c:pt idx="57">
                  <c:v>0.58846490525570305</c:v>
                </c:pt>
                <c:pt idx="58">
                  <c:v>-0.29981922229539698</c:v>
                </c:pt>
                <c:pt idx="59">
                  <c:v>-1.4152707502880999</c:v>
                </c:pt>
                <c:pt idx="60">
                  <c:v>0.14443891944626999</c:v>
                </c:pt>
                <c:pt idx="61">
                  <c:v>-0.82264505402077803</c:v>
                </c:pt>
                <c:pt idx="62">
                  <c:v>0</c:v>
                </c:pt>
                <c:pt idx="63">
                  <c:v>0.38129194601267002</c:v>
                </c:pt>
                <c:pt idx="64">
                  <c:v>-0.57605927456688699</c:v>
                </c:pt>
                <c:pt idx="65">
                  <c:v>4.9849462687683303E-2</c:v>
                </c:pt>
                <c:pt idx="66">
                  <c:v>1.8890548645546701E-3</c:v>
                </c:pt>
                <c:pt idx="67">
                  <c:v>-0.37573238534937697</c:v>
                </c:pt>
                <c:pt idx="68">
                  <c:v>-0.45493069651093498</c:v>
                </c:pt>
                <c:pt idx="69">
                  <c:v>-0.73053561368001896</c:v>
                </c:pt>
                <c:pt idx="70">
                  <c:v>-0.99248249543529199</c:v>
                </c:pt>
                <c:pt idx="71">
                  <c:v>-0.60121156298853395</c:v>
                </c:pt>
                <c:pt idx="72">
                  <c:v>0.210358878174745</c:v>
                </c:pt>
                <c:pt idx="73">
                  <c:v>0.65818775705870902</c:v>
                </c:pt>
                <c:pt idx="74">
                  <c:v>0.75447710896230202</c:v>
                </c:pt>
                <c:pt idx="75">
                  <c:v>-0.95923461186473602</c:v>
                </c:pt>
                <c:pt idx="76">
                  <c:v>-0.133686537214321</c:v>
                </c:pt>
                <c:pt idx="77">
                  <c:v>0.47815306106753502</c:v>
                </c:pt>
                <c:pt idx="78">
                  <c:v>0.84495080921130705</c:v>
                </c:pt>
                <c:pt idx="79">
                  <c:v>1.0921517707169399</c:v>
                </c:pt>
                <c:pt idx="80">
                  <c:v>-0.68134527140788304</c:v>
                </c:pt>
                <c:pt idx="81">
                  <c:v>-0.16950786483098801</c:v>
                </c:pt>
                <c:pt idx="82">
                  <c:v>-0.475760604848394</c:v>
                </c:pt>
                <c:pt idx="83">
                  <c:v>0.390532211778785</c:v>
                </c:pt>
                <c:pt idx="84">
                  <c:v>0.59821355644711105</c:v>
                </c:pt>
                <c:pt idx="85">
                  <c:v>-0.48622794391304303</c:v>
                </c:pt>
                <c:pt idx="86">
                  <c:v>-0.608131166551236</c:v>
                </c:pt>
                <c:pt idx="87">
                  <c:v>0.670401649141806</c:v>
                </c:pt>
                <c:pt idx="88">
                  <c:v>0.54959304235560902</c:v>
                </c:pt>
                <c:pt idx="89">
                  <c:v>0.59078558875562803</c:v>
                </c:pt>
                <c:pt idx="90">
                  <c:v>-0.130353885302981</c:v>
                </c:pt>
                <c:pt idx="91">
                  <c:v>0.28425622597655298</c:v>
                </c:pt>
                <c:pt idx="92">
                  <c:v>0.38129194601267002</c:v>
                </c:pt>
                <c:pt idx="93">
                  <c:v>0</c:v>
                </c:pt>
                <c:pt idx="94">
                  <c:v>0.28546614128758502</c:v>
                </c:pt>
                <c:pt idx="95">
                  <c:v>-1.3668562197073999</c:v>
                </c:pt>
                <c:pt idx="96">
                  <c:v>-0.32494158170086901</c:v>
                </c:pt>
                <c:pt idx="97">
                  <c:v>-0.20230664459521899</c:v>
                </c:pt>
                <c:pt idx="98">
                  <c:v>0.18274523517077301</c:v>
                </c:pt>
                <c:pt idx="99">
                  <c:v>0.82295810863496299</c:v>
                </c:pt>
                <c:pt idx="100">
                  <c:v>1.0904336470289999</c:v>
                </c:pt>
                <c:pt idx="101">
                  <c:v>-0.211814570997991</c:v>
                </c:pt>
                <c:pt idx="102">
                  <c:v>-0.101334239327442</c:v>
                </c:pt>
                <c:pt idx="103">
                  <c:v>-0.95486874855735104</c:v>
                </c:pt>
                <c:pt idx="104">
                  <c:v>0.23542520620884799</c:v>
                </c:pt>
                <c:pt idx="105">
                  <c:v>0.51518780315552404</c:v>
                </c:pt>
                <c:pt idx="106">
                  <c:v>6.1216103023294798E-2</c:v>
                </c:pt>
                <c:pt idx="107">
                  <c:v>0.38650075515003002</c:v>
                </c:pt>
                <c:pt idx="108">
                  <c:v>-0.207852947118042</c:v>
                </c:pt>
                <c:pt idx="109">
                  <c:v>-0.71386832252584298</c:v>
                </c:pt>
                <c:pt idx="110">
                  <c:v>-0.45653121574667499</c:v>
                </c:pt>
                <c:pt idx="111">
                  <c:v>-0.31934552091156598</c:v>
                </c:pt>
                <c:pt idx="112">
                  <c:v>-0.37972601838554698</c:v>
                </c:pt>
                <c:pt idx="113">
                  <c:v>1.28703503915816</c:v>
                </c:pt>
                <c:pt idx="114">
                  <c:v>-0.35039700478039398</c:v>
                </c:pt>
                <c:pt idx="115">
                  <c:v>-0.72632977329843995</c:v>
                </c:pt>
                <c:pt idx="116">
                  <c:v>-1.62277063110755E-2</c:v>
                </c:pt>
                <c:pt idx="117">
                  <c:v>-1.3956432240943599</c:v>
                </c:pt>
                <c:pt idx="118">
                  <c:v>-0.50482191604376803</c:v>
                </c:pt>
                <c:pt idx="119">
                  <c:v>-0.24240916301278401</c:v>
                </c:pt>
                <c:pt idx="120">
                  <c:v>0.65183593504495996</c:v>
                </c:pt>
                <c:pt idx="121">
                  <c:v>0.11543158508142599</c:v>
                </c:pt>
                <c:pt idx="122">
                  <c:v>-0.57605927456688699</c:v>
                </c:pt>
                <c:pt idx="123">
                  <c:v>0.28546614128758502</c:v>
                </c:pt>
                <c:pt idx="124">
                  <c:v>0</c:v>
                </c:pt>
                <c:pt idx="125">
                  <c:v>0.57892388788005</c:v>
                </c:pt>
                <c:pt idx="126">
                  <c:v>-1.48717043014467</c:v>
                </c:pt>
                <c:pt idx="127">
                  <c:v>-0.16094150204178501</c:v>
                </c:pt>
                <c:pt idx="128">
                  <c:v>0.63052308911433397</c:v>
                </c:pt>
                <c:pt idx="129">
                  <c:v>-0.41019693122726197</c:v>
                </c:pt>
                <c:pt idx="130">
                  <c:v>-1.25504862213548</c:v>
                </c:pt>
                <c:pt idx="131">
                  <c:v>-0.44848148123819398</c:v>
                </c:pt>
                <c:pt idx="132">
                  <c:v>0.98425987223348099</c:v>
                </c:pt>
                <c:pt idx="133">
                  <c:v>0.56553656234427696</c:v>
                </c:pt>
                <c:pt idx="134">
                  <c:v>-5.1960788144622898E-2</c:v>
                </c:pt>
                <c:pt idx="135">
                  <c:v>0.42934594206565901</c:v>
                </c:pt>
                <c:pt idx="136">
                  <c:v>1.06954150457034</c:v>
                </c:pt>
                <c:pt idx="137">
                  <c:v>0.53032207733395098</c:v>
                </c:pt>
                <c:pt idx="138">
                  <c:v>-2.69957885563985E-2</c:v>
                </c:pt>
                <c:pt idx="139">
                  <c:v>0.60578288968523197</c:v>
                </c:pt>
                <c:pt idx="140">
                  <c:v>0.31998546060890398</c:v>
                </c:pt>
                <c:pt idx="141">
                  <c:v>-0.692446492583772</c:v>
                </c:pt>
                <c:pt idx="142">
                  <c:v>-0.73550260096486497</c:v>
                </c:pt>
                <c:pt idx="143">
                  <c:v>0.24228623987006401</c:v>
                </c:pt>
                <c:pt idx="144">
                  <c:v>-0.14624220702415699</c:v>
                </c:pt>
                <c:pt idx="145">
                  <c:v>-0.34829074992099102</c:v>
                </c:pt>
                <c:pt idx="146">
                  <c:v>-0.42590262099918602</c:v>
                </c:pt>
                <c:pt idx="147">
                  <c:v>-0.277100054020467</c:v>
                </c:pt>
                <c:pt idx="148">
                  <c:v>1.1205094569346901</c:v>
                </c:pt>
                <c:pt idx="149">
                  <c:v>-0.33797024296862599</c:v>
                </c:pt>
                <c:pt idx="150">
                  <c:v>0.107158130483926</c:v>
                </c:pt>
                <c:pt idx="151">
                  <c:v>0.29080761148566098</c:v>
                </c:pt>
                <c:pt idx="152">
                  <c:v>4.9849462687683303E-2</c:v>
                </c:pt>
                <c:pt idx="153">
                  <c:v>-1.3668562197073999</c:v>
                </c:pt>
                <c:pt idx="154">
                  <c:v>0.57892388788005</c:v>
                </c:pt>
                <c:pt idx="155">
                  <c:v>0</c:v>
                </c:pt>
                <c:pt idx="156">
                  <c:v>0.264402559071929</c:v>
                </c:pt>
                <c:pt idx="157">
                  <c:v>0.47695990657556298</c:v>
                </c:pt>
                <c:pt idx="158">
                  <c:v>-0.59158137990241</c:v>
                </c:pt>
                <c:pt idx="159">
                  <c:v>0.29507734825624499</c:v>
                </c:pt>
                <c:pt idx="160">
                  <c:v>0.145421132931463</c:v>
                </c:pt>
                <c:pt idx="161">
                  <c:v>1.1486789592064599</c:v>
                </c:pt>
                <c:pt idx="162">
                  <c:v>0.21690314779181899</c:v>
                </c:pt>
                <c:pt idx="163">
                  <c:v>0.42400768695504598</c:v>
                </c:pt>
                <c:pt idx="164">
                  <c:v>0.74087596162793001</c:v>
                </c:pt>
                <c:pt idx="165">
                  <c:v>-0.58568621242403995</c:v>
                </c:pt>
                <c:pt idx="166">
                  <c:v>1.26803388674307</c:v>
                </c:pt>
                <c:pt idx="167">
                  <c:v>-0.51607408895264995</c:v>
                </c:pt>
                <c:pt idx="168">
                  <c:v>0.65332039723378499</c:v>
                </c:pt>
                <c:pt idx="169">
                  <c:v>0.23001231850234799</c:v>
                </c:pt>
                <c:pt idx="170">
                  <c:v>0.43451585971442103</c:v>
                </c:pt>
                <c:pt idx="171">
                  <c:v>-0.80146826210301103</c:v>
                </c:pt>
                <c:pt idx="172">
                  <c:v>0.70518650879253897</c:v>
                </c:pt>
                <c:pt idx="173">
                  <c:v>0.12696914452868599</c:v>
                </c:pt>
                <c:pt idx="174">
                  <c:v>-0.110164523394577</c:v>
                </c:pt>
                <c:pt idx="175">
                  <c:v>0.245230511833954</c:v>
                </c:pt>
                <c:pt idx="176">
                  <c:v>0.61511345235090997</c:v>
                </c:pt>
                <c:pt idx="177">
                  <c:v>-0.478507096767608</c:v>
                </c:pt>
                <c:pt idx="178">
                  <c:v>-0.628130959299391</c:v>
                </c:pt>
                <c:pt idx="179">
                  <c:v>-0.62868963814024803</c:v>
                </c:pt>
                <c:pt idx="180">
                  <c:v>-1.4849538298842799</c:v>
                </c:pt>
                <c:pt idx="181">
                  <c:v>0.87348694870903398</c:v>
                </c:pt>
                <c:pt idx="182">
                  <c:v>1.8890548645546701E-3</c:v>
                </c:pt>
                <c:pt idx="183">
                  <c:v>-0.32494158170086901</c:v>
                </c:pt>
                <c:pt idx="184">
                  <c:v>-1.48717043014467</c:v>
                </c:pt>
                <c:pt idx="185">
                  <c:v>0.264402559071929</c:v>
                </c:pt>
                <c:pt idx="186">
                  <c:v>0</c:v>
                </c:pt>
                <c:pt idx="187">
                  <c:v>0.73315659509429099</c:v>
                </c:pt>
                <c:pt idx="188">
                  <c:v>0.39113487530580299</c:v>
                </c:pt>
                <c:pt idx="189">
                  <c:v>-1.1654003787315099</c:v>
                </c:pt>
                <c:pt idx="190">
                  <c:v>-0.24480737429280999</c:v>
                </c:pt>
                <c:pt idx="191">
                  <c:v>0.87756910634125296</c:v>
                </c:pt>
                <c:pt idx="192">
                  <c:v>-0.37984659182723302</c:v>
                </c:pt>
                <c:pt idx="193">
                  <c:v>0.77812072236795404</c:v>
                </c:pt>
                <c:pt idx="194">
                  <c:v>1.4558359087831001</c:v>
                </c:pt>
                <c:pt idx="195">
                  <c:v>2.04187285757471</c:v>
                </c:pt>
                <c:pt idx="196">
                  <c:v>0.77967046388979</c:v>
                </c:pt>
                <c:pt idx="197">
                  <c:v>0.58916309928594401</c:v>
                </c:pt>
                <c:pt idx="198">
                  <c:v>1.5719416109061499</c:v>
                </c:pt>
                <c:pt idx="199">
                  <c:v>0.88560793846395502</c:v>
                </c:pt>
                <c:pt idx="200">
                  <c:v>-0.55529141827330997</c:v>
                </c:pt>
                <c:pt idx="201">
                  <c:v>1.5641833208801002E-2</c:v>
                </c:pt>
                <c:pt idx="202">
                  <c:v>-1.8422923728735802E-2</c:v>
                </c:pt>
                <c:pt idx="203">
                  <c:v>-0.72076685264583495</c:v>
                </c:pt>
                <c:pt idx="204">
                  <c:v>-0.19473584664238799</c:v>
                </c:pt>
                <c:pt idx="205">
                  <c:v>0.58644075965159204</c:v>
                </c:pt>
                <c:pt idx="206">
                  <c:v>-0.40362536036631902</c:v>
                </c:pt>
                <c:pt idx="207">
                  <c:v>-1.13285495420847E-2</c:v>
                </c:pt>
                <c:pt idx="208">
                  <c:v>1.5137950833399301</c:v>
                </c:pt>
                <c:pt idx="209">
                  <c:v>0.89337929643480096</c:v>
                </c:pt>
                <c:pt idx="210">
                  <c:v>-5.5826056726997898E-2</c:v>
                </c:pt>
                <c:pt idx="211">
                  <c:v>0.86840686751216201</c:v>
                </c:pt>
                <c:pt idx="212">
                  <c:v>-0.37573238534937697</c:v>
                </c:pt>
                <c:pt idx="213">
                  <c:v>-0.20230664459521899</c:v>
                </c:pt>
                <c:pt idx="214">
                  <c:v>-0.16094150204178501</c:v>
                </c:pt>
                <c:pt idx="215">
                  <c:v>0.47695990657556298</c:v>
                </c:pt>
                <c:pt idx="216">
                  <c:v>0.73315659509429099</c:v>
                </c:pt>
                <c:pt idx="217">
                  <c:v>0</c:v>
                </c:pt>
                <c:pt idx="218">
                  <c:v>1.0312511191365401</c:v>
                </c:pt>
                <c:pt idx="219">
                  <c:v>-0.40494269772647301</c:v>
                </c:pt>
                <c:pt idx="220">
                  <c:v>-0.819524628358967</c:v>
                </c:pt>
                <c:pt idx="221">
                  <c:v>0.39264263703815899</c:v>
                </c:pt>
                <c:pt idx="222">
                  <c:v>-0.161879541210631</c:v>
                </c:pt>
                <c:pt idx="223">
                  <c:v>-1.0039090708590599</c:v>
                </c:pt>
                <c:pt idx="224">
                  <c:v>1.8875048975743401E-2</c:v>
                </c:pt>
                <c:pt idx="225">
                  <c:v>0.64992688059927595</c:v>
                </c:pt>
                <c:pt idx="226">
                  <c:v>-0.23040894545995499</c:v>
                </c:pt>
                <c:pt idx="227">
                  <c:v>-0.84750314548495498</c:v>
                </c:pt>
                <c:pt idx="228">
                  <c:v>-0.92057907160016095</c:v>
                </c:pt>
                <c:pt idx="229">
                  <c:v>0.155675627749193</c:v>
                </c:pt>
                <c:pt idx="230">
                  <c:v>0.58560900210076805</c:v>
                </c:pt>
                <c:pt idx="231">
                  <c:v>0.73556040040030901</c:v>
                </c:pt>
                <c:pt idx="232">
                  <c:v>-0.46456858676021501</c:v>
                </c:pt>
                <c:pt idx="233">
                  <c:v>2.6586836751998001E-2</c:v>
                </c:pt>
                <c:pt idx="234">
                  <c:v>-1.72763802593741</c:v>
                </c:pt>
                <c:pt idx="235">
                  <c:v>0.11004884188777</c:v>
                </c:pt>
                <c:pt idx="236">
                  <c:v>0.92254772374947702</c:v>
                </c:pt>
                <c:pt idx="237">
                  <c:v>0.36428358567848002</c:v>
                </c:pt>
                <c:pt idx="238">
                  <c:v>-0.48944384316488299</c:v>
                </c:pt>
                <c:pt idx="239">
                  <c:v>0.27096414221656001</c:v>
                </c:pt>
                <c:pt idx="240">
                  <c:v>0.233100622645561</c:v>
                </c:pt>
                <c:pt idx="241">
                  <c:v>-0.74805022331696003</c:v>
                </c:pt>
                <c:pt idx="242">
                  <c:v>-0.45493069651093498</c:v>
                </c:pt>
                <c:pt idx="243">
                  <c:v>0.18274523517077301</c:v>
                </c:pt>
                <c:pt idx="244">
                  <c:v>0.63052308911433397</c:v>
                </c:pt>
                <c:pt idx="245">
                  <c:v>-0.59158137990241</c:v>
                </c:pt>
                <c:pt idx="246">
                  <c:v>0.39113487530580299</c:v>
                </c:pt>
                <c:pt idx="247">
                  <c:v>1.0312511191365401</c:v>
                </c:pt>
                <c:pt idx="248">
                  <c:v>0</c:v>
                </c:pt>
                <c:pt idx="249">
                  <c:v>0.46614744704586097</c:v>
                </c:pt>
                <c:pt idx="250">
                  <c:v>0.237465079459932</c:v>
                </c:pt>
                <c:pt idx="251">
                  <c:v>0.497391365936733</c:v>
                </c:pt>
                <c:pt idx="252">
                  <c:v>-0.37916508271968302</c:v>
                </c:pt>
                <c:pt idx="253">
                  <c:v>-0.14399246269836399</c:v>
                </c:pt>
                <c:pt idx="254">
                  <c:v>-0.170076354502077</c:v>
                </c:pt>
                <c:pt idx="255">
                  <c:v>0.28693618067216697</c:v>
                </c:pt>
                <c:pt idx="256">
                  <c:v>-0.41211238268572897</c:v>
                </c:pt>
                <c:pt idx="257">
                  <c:v>0.43753892099449099</c:v>
                </c:pt>
                <c:pt idx="258">
                  <c:v>-0.64275358759630596</c:v>
                </c:pt>
                <c:pt idx="259">
                  <c:v>0.57643110280546395</c:v>
                </c:pt>
                <c:pt idx="260">
                  <c:v>0.47193509271107698</c:v>
                </c:pt>
                <c:pt idx="261">
                  <c:v>0.87079074971359904</c:v>
                </c:pt>
                <c:pt idx="262">
                  <c:v>0.47923852122444599</c:v>
                </c:pt>
                <c:pt idx="263">
                  <c:v>9.69608165848454E-2</c:v>
                </c:pt>
                <c:pt idx="264">
                  <c:v>-0.30216287967738698</c:v>
                </c:pt>
                <c:pt idx="265">
                  <c:v>5.9194642446617103E-2</c:v>
                </c:pt>
                <c:pt idx="266">
                  <c:v>-3.0154022455411902E-2</c:v>
                </c:pt>
                <c:pt idx="267">
                  <c:v>0.31454206382537397</c:v>
                </c:pt>
                <c:pt idx="268">
                  <c:v>7.0213828229987604E-2</c:v>
                </c:pt>
                <c:pt idx="269">
                  <c:v>-8.4051916289703404E-2</c:v>
                </c:pt>
                <c:pt idx="270">
                  <c:v>-0.55120302390134401</c:v>
                </c:pt>
                <c:pt idx="271">
                  <c:v>-0.53243155290007504</c:v>
                </c:pt>
                <c:pt idx="272">
                  <c:v>-0.73053561368001896</c:v>
                </c:pt>
                <c:pt idx="273">
                  <c:v>0.82295810863496299</c:v>
                </c:pt>
                <c:pt idx="274">
                  <c:v>-0.41019693122726197</c:v>
                </c:pt>
                <c:pt idx="275">
                  <c:v>0.29507734825624499</c:v>
                </c:pt>
                <c:pt idx="276">
                  <c:v>-1.1654003787315099</c:v>
                </c:pt>
                <c:pt idx="277">
                  <c:v>-0.40494269772647301</c:v>
                </c:pt>
                <c:pt idx="278">
                  <c:v>0.46614744704586097</c:v>
                </c:pt>
                <c:pt idx="279">
                  <c:v>0</c:v>
                </c:pt>
                <c:pt idx="280">
                  <c:v>0.23493132107367501</c:v>
                </c:pt>
                <c:pt idx="281">
                  <c:v>0.323970403960055</c:v>
                </c:pt>
                <c:pt idx="282">
                  <c:v>1.01754169978609</c:v>
                </c:pt>
                <c:pt idx="283">
                  <c:v>1.2666451286735299E-2</c:v>
                </c:pt>
                <c:pt idx="284">
                  <c:v>0.73431284459444701</c:v>
                </c:pt>
                <c:pt idx="285">
                  <c:v>1.35494662381402</c:v>
                </c:pt>
                <c:pt idx="286">
                  <c:v>0.53145243169453504</c:v>
                </c:pt>
                <c:pt idx="287">
                  <c:v>-0.58860462028989502</c:v>
                </c:pt>
                <c:pt idx="288">
                  <c:v>-5.48008954432605E-2</c:v>
                </c:pt>
                <c:pt idx="289">
                  <c:v>0.80569316291118898</c:v>
                </c:pt>
                <c:pt idx="290">
                  <c:v>-8.8742525545002199E-2</c:v>
                </c:pt>
                <c:pt idx="291">
                  <c:v>0.39610666753248203</c:v>
                </c:pt>
                <c:pt idx="292">
                  <c:v>-0.36121427986744098</c:v>
                </c:pt>
                <c:pt idx="293">
                  <c:v>-1.07554636895884</c:v>
                </c:pt>
                <c:pt idx="294">
                  <c:v>0.21853869527608699</c:v>
                </c:pt>
                <c:pt idx="295">
                  <c:v>0.26489408084771299</c:v>
                </c:pt>
                <c:pt idx="296">
                  <c:v>0.63323587997992004</c:v>
                </c:pt>
                <c:pt idx="297">
                  <c:v>0.80673693545215197</c:v>
                </c:pt>
                <c:pt idx="298">
                  <c:v>1.0146829814095399</c:v>
                </c:pt>
                <c:pt idx="299">
                  <c:v>0.29503829965059303</c:v>
                </c:pt>
                <c:pt idx="300">
                  <c:v>-8.3762498111901798E-3</c:v>
                </c:pt>
                <c:pt idx="301">
                  <c:v>0.55826105369667101</c:v>
                </c:pt>
                <c:pt idx="302">
                  <c:v>-0.99248249543529199</c:v>
                </c:pt>
                <c:pt idx="303">
                  <c:v>1.0904336470289999</c:v>
                </c:pt>
                <c:pt idx="304">
                  <c:v>-1.25504862213548</c:v>
                </c:pt>
                <c:pt idx="305">
                  <c:v>0.145421132931463</c:v>
                </c:pt>
                <c:pt idx="306">
                  <c:v>-0.24480737429280999</c:v>
                </c:pt>
                <c:pt idx="307">
                  <c:v>-0.819524628358967</c:v>
                </c:pt>
                <c:pt idx="308">
                  <c:v>0.237465079459932</c:v>
                </c:pt>
                <c:pt idx="309">
                  <c:v>0.23493132107367501</c:v>
                </c:pt>
                <c:pt idx="310">
                  <c:v>0</c:v>
                </c:pt>
                <c:pt idx="311">
                  <c:v>0.48364971768857101</c:v>
                </c:pt>
                <c:pt idx="312">
                  <c:v>-0.36140205522229402</c:v>
                </c:pt>
                <c:pt idx="313">
                  <c:v>7.0959183281156801E-2</c:v>
                </c:pt>
                <c:pt idx="314">
                  <c:v>-0.35866244479120901</c:v>
                </c:pt>
                <c:pt idx="315">
                  <c:v>-1.7364333381667201</c:v>
                </c:pt>
                <c:pt idx="316">
                  <c:v>-0.61075239316252805</c:v>
                </c:pt>
                <c:pt idx="317">
                  <c:v>-0.68624346210708898</c:v>
                </c:pt>
                <c:pt idx="318">
                  <c:v>3.6094076136446997E-4</c:v>
                </c:pt>
                <c:pt idx="319">
                  <c:v>-0.29112360880141303</c:v>
                </c:pt>
                <c:pt idx="320">
                  <c:v>-0.67262038522089296</c:v>
                </c:pt>
                <c:pt idx="321">
                  <c:v>-0.21852333910169</c:v>
                </c:pt>
                <c:pt idx="322">
                  <c:v>0.31537289734470197</c:v>
                </c:pt>
                <c:pt idx="323">
                  <c:v>-1.33773665603104E-2</c:v>
                </c:pt>
                <c:pt idx="324">
                  <c:v>1.73352545860914</c:v>
                </c:pt>
                <c:pt idx="325">
                  <c:v>1.8760972464160099</c:v>
                </c:pt>
                <c:pt idx="326">
                  <c:v>1.6156371964724101</c:v>
                </c:pt>
                <c:pt idx="327">
                  <c:v>0.316558278001284</c:v>
                </c:pt>
                <c:pt idx="328">
                  <c:v>0.87214633088606897</c:v>
                </c:pt>
                <c:pt idx="329">
                  <c:v>0.71645601441023699</c:v>
                </c:pt>
                <c:pt idx="330">
                  <c:v>-1.59175273253584</c:v>
                </c:pt>
                <c:pt idx="331">
                  <c:v>0.25207588096982297</c:v>
                </c:pt>
                <c:pt idx="332">
                  <c:v>-0.60121156298853395</c:v>
                </c:pt>
                <c:pt idx="333">
                  <c:v>-0.211814570997991</c:v>
                </c:pt>
                <c:pt idx="334">
                  <c:v>-0.44848148123819398</c:v>
                </c:pt>
                <c:pt idx="335">
                  <c:v>1.1486789592064599</c:v>
                </c:pt>
                <c:pt idx="336">
                  <c:v>0.87756910634125296</c:v>
                </c:pt>
                <c:pt idx="337">
                  <c:v>0.39264263703815899</c:v>
                </c:pt>
                <c:pt idx="338">
                  <c:v>0.497391365936733</c:v>
                </c:pt>
                <c:pt idx="339">
                  <c:v>0.323970403960055</c:v>
                </c:pt>
                <c:pt idx="340">
                  <c:v>0.48364971768857101</c:v>
                </c:pt>
                <c:pt idx="341">
                  <c:v>0</c:v>
                </c:pt>
                <c:pt idx="342">
                  <c:v>-1.13620424100854</c:v>
                </c:pt>
                <c:pt idx="343">
                  <c:v>0.61967769802916295</c:v>
                </c:pt>
                <c:pt idx="344">
                  <c:v>-1.0486957154844101</c:v>
                </c:pt>
                <c:pt idx="345">
                  <c:v>-6.4391555010141197E-2</c:v>
                </c:pt>
                <c:pt idx="346">
                  <c:v>-0.75722338438841197</c:v>
                </c:pt>
                <c:pt idx="347">
                  <c:v>-0.320680559270692</c:v>
                </c:pt>
                <c:pt idx="348">
                  <c:v>7.5558207879776296E-2</c:v>
                </c:pt>
                <c:pt idx="349">
                  <c:v>-0.326022257266115</c:v>
                </c:pt>
                <c:pt idx="350">
                  <c:v>0.63076753069080904</c:v>
                </c:pt>
                <c:pt idx="351">
                  <c:v>-0.25993534064974699</c:v>
                </c:pt>
                <c:pt idx="352">
                  <c:v>1.07242261706188</c:v>
                </c:pt>
                <c:pt idx="353">
                  <c:v>0.115432832862902</c:v>
                </c:pt>
                <c:pt idx="354">
                  <c:v>-1.03423417994375</c:v>
                </c:pt>
                <c:pt idx="355">
                  <c:v>0.23526430316235999</c:v>
                </c:pt>
                <c:pt idx="356">
                  <c:v>4.7254095061737299E-2</c:v>
                </c:pt>
                <c:pt idx="357">
                  <c:v>0.22304993612130999</c:v>
                </c:pt>
                <c:pt idx="358">
                  <c:v>-0.53573559091358103</c:v>
                </c:pt>
                <c:pt idx="359">
                  <c:v>-0.61484171393075204</c:v>
                </c:pt>
                <c:pt idx="360">
                  <c:v>0.48265320860602501</c:v>
                </c:pt>
                <c:pt idx="361">
                  <c:v>-0.76817790759372895</c:v>
                </c:pt>
                <c:pt idx="362">
                  <c:v>0.210358878174745</c:v>
                </c:pt>
                <c:pt idx="363">
                  <c:v>-0.101334239327442</c:v>
                </c:pt>
                <c:pt idx="364">
                  <c:v>0.98425987223348099</c:v>
                </c:pt>
                <c:pt idx="365">
                  <c:v>0.21690314779181899</c:v>
                </c:pt>
                <c:pt idx="366">
                  <c:v>-0.37984659182723302</c:v>
                </c:pt>
                <c:pt idx="367">
                  <c:v>-0.161879541210631</c:v>
                </c:pt>
                <c:pt idx="368">
                  <c:v>-0.37916508271968302</c:v>
                </c:pt>
                <c:pt idx="369">
                  <c:v>1.01754169978609</c:v>
                </c:pt>
                <c:pt idx="370">
                  <c:v>-0.36140205522229402</c:v>
                </c:pt>
                <c:pt idx="371">
                  <c:v>-1.13620424100854</c:v>
                </c:pt>
                <c:pt idx="372">
                  <c:v>0</c:v>
                </c:pt>
                <c:pt idx="373">
                  <c:v>0.49546562574534803</c:v>
                </c:pt>
                <c:pt idx="374">
                  <c:v>-7.5298324920621995E-2</c:v>
                </c:pt>
                <c:pt idx="375">
                  <c:v>-1.74514281011281E-2</c:v>
                </c:pt>
                <c:pt idx="376">
                  <c:v>-0.25119034927516298</c:v>
                </c:pt>
                <c:pt idx="377">
                  <c:v>-0.92115331084122098</c:v>
                </c:pt>
                <c:pt idx="378">
                  <c:v>-0.22094579075656001</c:v>
                </c:pt>
                <c:pt idx="379">
                  <c:v>-0.93977928822118595</c:v>
                </c:pt>
                <c:pt idx="380">
                  <c:v>-9.1727009021761105E-2</c:v>
                </c:pt>
                <c:pt idx="381">
                  <c:v>0.258541831619507</c:v>
                </c:pt>
                <c:pt idx="382">
                  <c:v>0.66309382271782602</c:v>
                </c:pt>
                <c:pt idx="383">
                  <c:v>-0.509930535091492</c:v>
                </c:pt>
                <c:pt idx="384">
                  <c:v>-0.44939574390970899</c:v>
                </c:pt>
                <c:pt idx="385">
                  <c:v>9.95400073805663E-2</c:v>
                </c:pt>
                <c:pt idx="386">
                  <c:v>1.05683433101985</c:v>
                </c:pt>
                <c:pt idx="387">
                  <c:v>0.66863418435712596</c:v>
                </c:pt>
                <c:pt idx="388">
                  <c:v>0.522253613866274</c:v>
                </c:pt>
                <c:pt idx="389">
                  <c:v>-0.56192395395350403</c:v>
                </c:pt>
                <c:pt idx="390">
                  <c:v>0.42670491961294399</c:v>
                </c:pt>
                <c:pt idx="391">
                  <c:v>-0.56065515351138095</c:v>
                </c:pt>
                <c:pt idx="392">
                  <c:v>0.65818775705870902</c:v>
                </c:pt>
                <c:pt idx="393">
                  <c:v>-0.95486874855735104</c:v>
                </c:pt>
                <c:pt idx="394">
                  <c:v>0.56553656234427696</c:v>
                </c:pt>
                <c:pt idx="395">
                  <c:v>0.42400768695504598</c:v>
                </c:pt>
                <c:pt idx="396">
                  <c:v>0.77812072236795404</c:v>
                </c:pt>
                <c:pt idx="397">
                  <c:v>-1.0039090708590599</c:v>
                </c:pt>
                <c:pt idx="398">
                  <c:v>-0.14399246269836399</c:v>
                </c:pt>
                <c:pt idx="399">
                  <c:v>1.2666451286735299E-2</c:v>
                </c:pt>
                <c:pt idx="400">
                  <c:v>7.0959183281156801E-2</c:v>
                </c:pt>
                <c:pt idx="401">
                  <c:v>0.61967769802916295</c:v>
                </c:pt>
                <c:pt idx="402">
                  <c:v>0.49546562574534803</c:v>
                </c:pt>
                <c:pt idx="403">
                  <c:v>0</c:v>
                </c:pt>
                <c:pt idx="404">
                  <c:v>0.173427792720595</c:v>
                </c:pt>
                <c:pt idx="405">
                  <c:v>0.141376133798053</c:v>
                </c:pt>
                <c:pt idx="406">
                  <c:v>0.67590892727950602</c:v>
                </c:pt>
                <c:pt idx="407">
                  <c:v>1.12958881681944E-2</c:v>
                </c:pt>
                <c:pt idx="408">
                  <c:v>0.86242043911274302</c:v>
                </c:pt>
                <c:pt idx="409">
                  <c:v>-6.18719720343388E-2</c:v>
                </c:pt>
                <c:pt idx="410">
                  <c:v>-0.71664220904797504</c:v>
                </c:pt>
                <c:pt idx="411">
                  <c:v>0.662869261614079</c:v>
                </c:pt>
                <c:pt idx="412">
                  <c:v>-0.11325211731823299</c:v>
                </c:pt>
                <c:pt idx="413">
                  <c:v>0.29034041954839401</c:v>
                </c:pt>
                <c:pt idx="414">
                  <c:v>-0.27257046546181801</c:v>
                </c:pt>
                <c:pt idx="415">
                  <c:v>1.1156978336523899</c:v>
                </c:pt>
                <c:pt idx="416">
                  <c:v>-0.75834673934236996</c:v>
                </c:pt>
                <c:pt idx="417">
                  <c:v>0.303110589543378</c:v>
                </c:pt>
                <c:pt idx="418">
                  <c:v>-0.78797238578175399</c:v>
                </c:pt>
                <c:pt idx="419">
                  <c:v>0.48684463209365397</c:v>
                </c:pt>
                <c:pt idx="420">
                  <c:v>0.21735478943887299</c:v>
                </c:pt>
                <c:pt idx="421">
                  <c:v>0.23868079185138599</c:v>
                </c:pt>
                <c:pt idx="422">
                  <c:v>0.75447710896230202</c:v>
                </c:pt>
                <c:pt idx="423">
                  <c:v>0.23542520620884799</c:v>
                </c:pt>
                <c:pt idx="424">
                  <c:v>-5.1960788144622898E-2</c:v>
                </c:pt>
                <c:pt idx="425">
                  <c:v>0.74087596162793001</c:v>
                </c:pt>
                <c:pt idx="426">
                  <c:v>1.4558359087831001</c:v>
                </c:pt>
                <c:pt idx="427">
                  <c:v>1.8875048975743401E-2</c:v>
                </c:pt>
                <c:pt idx="428">
                  <c:v>-0.170076354502077</c:v>
                </c:pt>
                <c:pt idx="429">
                  <c:v>0.73431284459444701</c:v>
                </c:pt>
                <c:pt idx="430">
                  <c:v>-0.35866244479120901</c:v>
                </c:pt>
                <c:pt idx="431">
                  <c:v>-1.0486957154844101</c:v>
                </c:pt>
                <c:pt idx="432">
                  <c:v>-7.5298324920621995E-2</c:v>
                </c:pt>
                <c:pt idx="433">
                  <c:v>0.173427792720595</c:v>
                </c:pt>
                <c:pt idx="434">
                  <c:v>0</c:v>
                </c:pt>
                <c:pt idx="435">
                  <c:v>-0.73419933934531301</c:v>
                </c:pt>
                <c:pt idx="436">
                  <c:v>0.112629136288749</c:v>
                </c:pt>
                <c:pt idx="437">
                  <c:v>0.78535463616605905</c:v>
                </c:pt>
                <c:pt idx="438">
                  <c:v>-0.64315702867429403</c:v>
                </c:pt>
                <c:pt idx="439">
                  <c:v>0.251338266530793</c:v>
                </c:pt>
                <c:pt idx="440">
                  <c:v>0.178393860022203</c:v>
                </c:pt>
                <c:pt idx="441">
                  <c:v>0.68889432807512196</c:v>
                </c:pt>
                <c:pt idx="442">
                  <c:v>-8.0495706772421002E-2</c:v>
                </c:pt>
                <c:pt idx="443">
                  <c:v>-0.85745966903321003</c:v>
                </c:pt>
                <c:pt idx="444">
                  <c:v>-0.66629084509919601</c:v>
                </c:pt>
                <c:pt idx="445">
                  <c:v>6.3319815001052299E-2</c:v>
                </c:pt>
                <c:pt idx="446">
                  <c:v>1.28929935428528</c:v>
                </c:pt>
                <c:pt idx="447">
                  <c:v>-0.93663854109233902</c:v>
                </c:pt>
                <c:pt idx="448">
                  <c:v>-1.2062315970900299</c:v>
                </c:pt>
                <c:pt idx="449">
                  <c:v>1.1212400782956</c:v>
                </c:pt>
                <c:pt idx="450">
                  <c:v>-0.74091371752017399</c:v>
                </c:pt>
                <c:pt idx="451">
                  <c:v>-0.51998536791433203</c:v>
                </c:pt>
                <c:pt idx="452">
                  <c:v>-0.95923461186473602</c:v>
                </c:pt>
                <c:pt idx="453">
                  <c:v>0.51518780315552404</c:v>
                </c:pt>
                <c:pt idx="454">
                  <c:v>0.42934594206565901</c:v>
                </c:pt>
                <c:pt idx="455">
                  <c:v>-0.58568621242403995</c:v>
                </c:pt>
                <c:pt idx="456">
                  <c:v>2.04187285757471</c:v>
                </c:pt>
                <c:pt idx="457">
                  <c:v>0.64992688059927595</c:v>
                </c:pt>
                <c:pt idx="458">
                  <c:v>0.28693618067216697</c:v>
                </c:pt>
                <c:pt idx="459">
                  <c:v>1.35494662381402</c:v>
                </c:pt>
                <c:pt idx="460">
                  <c:v>-1.7364333381667201</c:v>
                </c:pt>
                <c:pt idx="461">
                  <c:v>-6.4391555010141197E-2</c:v>
                </c:pt>
                <c:pt idx="462">
                  <c:v>-1.74514281011281E-2</c:v>
                </c:pt>
                <c:pt idx="463">
                  <c:v>0.141376133798053</c:v>
                </c:pt>
                <c:pt idx="464">
                  <c:v>-0.73419933934531301</c:v>
                </c:pt>
                <c:pt idx="465">
                  <c:v>0</c:v>
                </c:pt>
                <c:pt idx="466">
                  <c:v>0.17320001317304701</c:v>
                </c:pt>
                <c:pt idx="467">
                  <c:v>-0.17633397007684301</c:v>
                </c:pt>
                <c:pt idx="468">
                  <c:v>0.14423326121792701</c:v>
                </c:pt>
                <c:pt idx="469">
                  <c:v>-0.52547843377165404</c:v>
                </c:pt>
                <c:pt idx="470">
                  <c:v>0.37023073489536501</c:v>
                </c:pt>
                <c:pt idx="471">
                  <c:v>-1.49830551789533</c:v>
                </c:pt>
                <c:pt idx="472">
                  <c:v>1.3697550476018201</c:v>
                </c:pt>
                <c:pt idx="473">
                  <c:v>-0.40569876210836198</c:v>
                </c:pt>
                <c:pt idx="474">
                  <c:v>-0.47642953027695001</c:v>
                </c:pt>
                <c:pt idx="475">
                  <c:v>-0.47587136230315502</c:v>
                </c:pt>
                <c:pt idx="476">
                  <c:v>-0.85448844832460302</c:v>
                </c:pt>
                <c:pt idx="477">
                  <c:v>7.76555415951279E-2</c:v>
                </c:pt>
                <c:pt idx="478">
                  <c:v>0.46751238069171103</c:v>
                </c:pt>
                <c:pt idx="479">
                  <c:v>0.88400994210606498</c:v>
                </c:pt>
                <c:pt idx="480">
                  <c:v>1.18553095114982</c:v>
                </c:pt>
                <c:pt idx="481">
                  <c:v>0.82943828868754499</c:v>
                </c:pt>
                <c:pt idx="482">
                  <c:v>-0.133686537214321</c:v>
                </c:pt>
                <c:pt idx="483">
                  <c:v>6.1216103023294798E-2</c:v>
                </c:pt>
                <c:pt idx="484">
                  <c:v>1.06954150457034</c:v>
                </c:pt>
                <c:pt idx="485">
                  <c:v>1.26803388674307</c:v>
                </c:pt>
                <c:pt idx="486">
                  <c:v>0.77967046388979</c:v>
                </c:pt>
                <c:pt idx="487">
                  <c:v>-0.23040894545995499</c:v>
                </c:pt>
                <c:pt idx="488">
                  <c:v>-0.41211238268572897</c:v>
                </c:pt>
                <c:pt idx="489">
                  <c:v>0.53145243169453504</c:v>
                </c:pt>
                <c:pt idx="490">
                  <c:v>-0.61075239316252805</c:v>
                </c:pt>
                <c:pt idx="491">
                  <c:v>-0.75722338438841197</c:v>
                </c:pt>
                <c:pt idx="492">
                  <c:v>-0.25119034927516298</c:v>
                </c:pt>
                <c:pt idx="493">
                  <c:v>0.67590892727950602</c:v>
                </c:pt>
                <c:pt idx="494">
                  <c:v>0.112629136288749</c:v>
                </c:pt>
                <c:pt idx="495">
                  <c:v>0.17320001317304701</c:v>
                </c:pt>
                <c:pt idx="496">
                  <c:v>0</c:v>
                </c:pt>
                <c:pt idx="497">
                  <c:v>0.35051398641301501</c:v>
                </c:pt>
                <c:pt idx="498">
                  <c:v>0.69985713116894099</c:v>
                </c:pt>
                <c:pt idx="499">
                  <c:v>5.0933385325006297E-2</c:v>
                </c:pt>
                <c:pt idx="500">
                  <c:v>-1.03352822621116</c:v>
                </c:pt>
                <c:pt idx="501">
                  <c:v>-3.28555344892935E-2</c:v>
                </c:pt>
                <c:pt idx="502">
                  <c:v>-0.12077299394431799</c:v>
                </c:pt>
                <c:pt idx="503">
                  <c:v>7.4523533822324406E-2</c:v>
                </c:pt>
                <c:pt idx="504">
                  <c:v>-1.3606459227659899</c:v>
                </c:pt>
                <c:pt idx="505">
                  <c:v>0.65894818259208698</c:v>
                </c:pt>
                <c:pt idx="506">
                  <c:v>-4.6238840510950098E-2</c:v>
                </c:pt>
                <c:pt idx="507">
                  <c:v>-1.17006505065017</c:v>
                </c:pt>
                <c:pt idx="508">
                  <c:v>-1.2230415972366799</c:v>
                </c:pt>
                <c:pt idx="509">
                  <c:v>-8.1744024113293998E-2</c:v>
                </c:pt>
                <c:pt idx="510">
                  <c:v>0.73219835913706699</c:v>
                </c:pt>
                <c:pt idx="511">
                  <c:v>0.74021598554684498</c:v>
                </c:pt>
                <c:pt idx="512">
                  <c:v>0.47815306106753502</c:v>
                </c:pt>
                <c:pt idx="513">
                  <c:v>0.38650075515003002</c:v>
                </c:pt>
                <c:pt idx="514">
                  <c:v>0.53032207733395098</c:v>
                </c:pt>
                <c:pt idx="515">
                  <c:v>-0.51607408895264995</c:v>
                </c:pt>
                <c:pt idx="516">
                  <c:v>0.58916309928594401</c:v>
                </c:pt>
                <c:pt idx="517">
                  <c:v>-0.84750314548495498</c:v>
                </c:pt>
                <c:pt idx="518">
                  <c:v>0.43753892099449099</c:v>
                </c:pt>
                <c:pt idx="519">
                  <c:v>-0.58860462028989502</c:v>
                </c:pt>
                <c:pt idx="520">
                  <c:v>-0.68624346210708898</c:v>
                </c:pt>
                <c:pt idx="521">
                  <c:v>-0.320680559270692</c:v>
                </c:pt>
                <c:pt idx="522">
                  <c:v>-0.92115331084122098</c:v>
                </c:pt>
                <c:pt idx="523">
                  <c:v>1.12958881681944E-2</c:v>
                </c:pt>
                <c:pt idx="524">
                  <c:v>0.78535463616605905</c:v>
                </c:pt>
                <c:pt idx="525">
                  <c:v>-0.17633397007684301</c:v>
                </c:pt>
                <c:pt idx="526">
                  <c:v>0.35051398641301501</c:v>
                </c:pt>
                <c:pt idx="527">
                  <c:v>0</c:v>
                </c:pt>
                <c:pt idx="528">
                  <c:v>0.26530616471912799</c:v>
                </c:pt>
                <c:pt idx="529">
                  <c:v>-0.25201523313128898</c:v>
                </c:pt>
                <c:pt idx="530">
                  <c:v>1.3197480538078099</c:v>
                </c:pt>
                <c:pt idx="531">
                  <c:v>-0.68361733374469902</c:v>
                </c:pt>
                <c:pt idx="532">
                  <c:v>0.212958313617024</c:v>
                </c:pt>
                <c:pt idx="533">
                  <c:v>-0.42786752273906797</c:v>
                </c:pt>
                <c:pt idx="534">
                  <c:v>-7.9491270940328596E-2</c:v>
                </c:pt>
                <c:pt idx="535">
                  <c:v>-0.25306672553624898</c:v>
                </c:pt>
                <c:pt idx="536">
                  <c:v>-0.23110818400820701</c:v>
                </c:pt>
                <c:pt idx="537">
                  <c:v>0.78536382340532795</c:v>
                </c:pt>
                <c:pt idx="538">
                  <c:v>-1.5118462788848901</c:v>
                </c:pt>
                <c:pt idx="539">
                  <c:v>-0.94170340829253596</c:v>
                </c:pt>
                <c:pt idx="540">
                  <c:v>-1.34738136129875</c:v>
                </c:pt>
                <c:pt idx="541">
                  <c:v>-0.76137589916465598</c:v>
                </c:pt>
                <c:pt idx="542">
                  <c:v>0.84495080921130705</c:v>
                </c:pt>
                <c:pt idx="543">
                  <c:v>-0.207852947118042</c:v>
                </c:pt>
                <c:pt idx="544">
                  <c:v>-2.69957885563985E-2</c:v>
                </c:pt>
                <c:pt idx="545">
                  <c:v>0.65332039723378499</c:v>
                </c:pt>
                <c:pt idx="546">
                  <c:v>1.5719416109061499</c:v>
                </c:pt>
                <c:pt idx="547">
                  <c:v>-0.92057907160016095</c:v>
                </c:pt>
                <c:pt idx="548">
                  <c:v>-0.64275358759630596</c:v>
                </c:pt>
                <c:pt idx="549">
                  <c:v>-5.48008954432605E-2</c:v>
                </c:pt>
                <c:pt idx="550">
                  <c:v>3.6094076136446997E-4</c:v>
                </c:pt>
                <c:pt idx="551">
                  <c:v>7.5558207879776296E-2</c:v>
                </c:pt>
                <c:pt idx="552">
                  <c:v>-0.22094579075656001</c:v>
                </c:pt>
                <c:pt idx="553">
                  <c:v>0.86242043911274302</c:v>
                </c:pt>
                <c:pt idx="554">
                  <c:v>-0.64315702867429403</c:v>
                </c:pt>
                <c:pt idx="555">
                  <c:v>0.14423326121792701</c:v>
                </c:pt>
                <c:pt idx="556">
                  <c:v>0.69985713116894099</c:v>
                </c:pt>
                <c:pt idx="557">
                  <c:v>0.26530616471912799</c:v>
                </c:pt>
                <c:pt idx="558">
                  <c:v>0</c:v>
                </c:pt>
                <c:pt idx="559">
                  <c:v>-0.30525218764474599</c:v>
                </c:pt>
                <c:pt idx="560">
                  <c:v>-1.51960926393394</c:v>
                </c:pt>
                <c:pt idx="561">
                  <c:v>-0.33322338043646499</c:v>
                </c:pt>
                <c:pt idx="562">
                  <c:v>0.23050881025188799</c:v>
                </c:pt>
                <c:pt idx="563">
                  <c:v>0.298253837986107</c:v>
                </c:pt>
                <c:pt idx="564">
                  <c:v>-0.36664155285211603</c:v>
                </c:pt>
                <c:pt idx="565">
                  <c:v>0.14290744819338499</c:v>
                </c:pt>
                <c:pt idx="566">
                  <c:v>-0.81257225324690097</c:v>
                </c:pt>
                <c:pt idx="567">
                  <c:v>-1.49048333217549</c:v>
                </c:pt>
                <c:pt idx="568">
                  <c:v>-4.2460111167729103E-2</c:v>
                </c:pt>
                <c:pt idx="569">
                  <c:v>-1.65661371108706</c:v>
                </c:pt>
                <c:pt idx="570">
                  <c:v>0.54829275156579604</c:v>
                </c:pt>
                <c:pt idx="571">
                  <c:v>0.65205850657589703</c:v>
                </c:pt>
                <c:pt idx="572">
                  <c:v>1.0921517707169399</c:v>
                </c:pt>
                <c:pt idx="573">
                  <c:v>-0.71386832252584298</c:v>
                </c:pt>
                <c:pt idx="574">
                  <c:v>0.60578288968523197</c:v>
                </c:pt>
                <c:pt idx="575">
                  <c:v>0.23001231850234799</c:v>
                </c:pt>
                <c:pt idx="576">
                  <c:v>0.88560793846395502</c:v>
                </c:pt>
                <c:pt idx="577">
                  <c:v>0.155675627749193</c:v>
                </c:pt>
                <c:pt idx="578">
                  <c:v>0.57643110280546395</c:v>
                </c:pt>
                <c:pt idx="579">
                  <c:v>0.80569316291118898</c:v>
                </c:pt>
                <c:pt idx="580">
                  <c:v>-0.29112360880141303</c:v>
                </c:pt>
                <c:pt idx="581">
                  <c:v>-0.326022257266115</c:v>
                </c:pt>
                <c:pt idx="582">
                  <c:v>-0.93977928822118595</c:v>
                </c:pt>
                <c:pt idx="583">
                  <c:v>-6.18719720343388E-2</c:v>
                </c:pt>
                <c:pt idx="584">
                  <c:v>0.251338266530793</c:v>
                </c:pt>
                <c:pt idx="585">
                  <c:v>-0.52547843377165404</c:v>
                </c:pt>
                <c:pt idx="586">
                  <c:v>5.0933385325006297E-2</c:v>
                </c:pt>
                <c:pt idx="587">
                  <c:v>-0.25201523313128898</c:v>
                </c:pt>
                <c:pt idx="588">
                  <c:v>-0.30525218764474599</c:v>
                </c:pt>
                <c:pt idx="589">
                  <c:v>0</c:v>
                </c:pt>
                <c:pt idx="590">
                  <c:v>-1.1562869303799801</c:v>
                </c:pt>
                <c:pt idx="591">
                  <c:v>1.2269910886197499</c:v>
                </c:pt>
                <c:pt idx="592">
                  <c:v>0.65395827752189095</c:v>
                </c:pt>
                <c:pt idx="593">
                  <c:v>-0.25654466379063001</c:v>
                </c:pt>
                <c:pt idx="594">
                  <c:v>0.37828975634837098</c:v>
                </c:pt>
                <c:pt idx="595">
                  <c:v>0.61960257545445796</c:v>
                </c:pt>
                <c:pt idx="596">
                  <c:v>-0.92492516117919998</c:v>
                </c:pt>
                <c:pt idx="597">
                  <c:v>-0.38879342444725101</c:v>
                </c:pt>
                <c:pt idx="598">
                  <c:v>0.97983129588014894</c:v>
                </c:pt>
                <c:pt idx="599">
                  <c:v>-0.65517921720258798</c:v>
                </c:pt>
                <c:pt idx="600">
                  <c:v>-0.48096575605381903</c:v>
                </c:pt>
                <c:pt idx="601">
                  <c:v>-1.2483209207069501</c:v>
                </c:pt>
                <c:pt idx="602">
                  <c:v>-0.68134527140788304</c:v>
                </c:pt>
                <c:pt idx="603">
                  <c:v>-0.45653121574667499</c:v>
                </c:pt>
                <c:pt idx="604">
                  <c:v>0.31998546060890398</c:v>
                </c:pt>
                <c:pt idx="605">
                  <c:v>0.43451585971442103</c:v>
                </c:pt>
                <c:pt idx="606">
                  <c:v>-0.55529141827330997</c:v>
                </c:pt>
                <c:pt idx="607">
                  <c:v>0.58560900210076805</c:v>
                </c:pt>
                <c:pt idx="608">
                  <c:v>0.47193509271107698</c:v>
                </c:pt>
                <c:pt idx="609">
                  <c:v>-8.8742525545002199E-2</c:v>
                </c:pt>
                <c:pt idx="610">
                  <c:v>-0.67262038522089296</c:v>
                </c:pt>
                <c:pt idx="611">
                  <c:v>0.63076753069080904</c:v>
                </c:pt>
                <c:pt idx="612">
                  <c:v>-9.1727009021761105E-2</c:v>
                </c:pt>
                <c:pt idx="613">
                  <c:v>-0.71664220904797504</c:v>
                </c:pt>
                <c:pt idx="614">
                  <c:v>0.178393860022203</c:v>
                </c:pt>
                <c:pt idx="615">
                  <c:v>0.37023073489536501</c:v>
                </c:pt>
                <c:pt idx="616">
                  <c:v>-1.03352822621116</c:v>
                </c:pt>
                <c:pt idx="617">
                  <c:v>1.3197480538078099</c:v>
                </c:pt>
                <c:pt idx="618">
                  <c:v>-1.51960926393394</c:v>
                </c:pt>
                <c:pt idx="619">
                  <c:v>-1.1562869303799801</c:v>
                </c:pt>
                <c:pt idx="620">
                  <c:v>0</c:v>
                </c:pt>
                <c:pt idx="621">
                  <c:v>-0.54979683008365299</c:v>
                </c:pt>
                <c:pt idx="622">
                  <c:v>0.15223388862579099</c:v>
                </c:pt>
                <c:pt idx="623">
                  <c:v>-0.61809276820024195</c:v>
                </c:pt>
                <c:pt idx="624">
                  <c:v>4.0593508965108702E-2</c:v>
                </c:pt>
                <c:pt idx="625">
                  <c:v>0.57130574403911505</c:v>
                </c:pt>
                <c:pt idx="626">
                  <c:v>0.45706177642260598</c:v>
                </c:pt>
                <c:pt idx="627">
                  <c:v>6.6652411693714095E-2</c:v>
                </c:pt>
                <c:pt idx="628">
                  <c:v>0.86112584927744396</c:v>
                </c:pt>
                <c:pt idx="629">
                  <c:v>0.79872485015633399</c:v>
                </c:pt>
                <c:pt idx="630">
                  <c:v>-0.27486141415267401</c:v>
                </c:pt>
                <c:pt idx="631">
                  <c:v>0.72726529968932996</c:v>
                </c:pt>
                <c:pt idx="632">
                  <c:v>-0.16950786483098801</c:v>
                </c:pt>
                <c:pt idx="633">
                  <c:v>-0.31934552091156598</c:v>
                </c:pt>
                <c:pt idx="634">
                  <c:v>-0.692446492583772</c:v>
                </c:pt>
                <c:pt idx="635">
                  <c:v>-0.80146826210301103</c:v>
                </c:pt>
                <c:pt idx="636">
                  <c:v>1.5641833208801002E-2</c:v>
                </c:pt>
                <c:pt idx="637">
                  <c:v>0.73556040040030901</c:v>
                </c:pt>
                <c:pt idx="638">
                  <c:v>0.87079074971359904</c:v>
                </c:pt>
                <c:pt idx="639">
                  <c:v>0.39610666753248203</c:v>
                </c:pt>
                <c:pt idx="640">
                  <c:v>-0.21852333910169</c:v>
                </c:pt>
                <c:pt idx="641">
                  <c:v>-0.25993534064974699</c:v>
                </c:pt>
                <c:pt idx="642">
                  <c:v>0.258541831619507</c:v>
                </c:pt>
                <c:pt idx="643">
                  <c:v>0.662869261614079</c:v>
                </c:pt>
                <c:pt idx="644">
                  <c:v>0.68889432807512196</c:v>
                </c:pt>
                <c:pt idx="645">
                  <c:v>-1.49830551789533</c:v>
                </c:pt>
                <c:pt idx="646">
                  <c:v>-3.28555344892935E-2</c:v>
                </c:pt>
                <c:pt idx="647">
                  <c:v>-0.68361733374469902</c:v>
                </c:pt>
                <c:pt idx="648">
                  <c:v>-0.33322338043646499</c:v>
                </c:pt>
                <c:pt idx="649">
                  <c:v>1.2269910886197499</c:v>
                </c:pt>
                <c:pt idx="650">
                  <c:v>-0.54979683008365299</c:v>
                </c:pt>
                <c:pt idx="651">
                  <c:v>0</c:v>
                </c:pt>
                <c:pt idx="652">
                  <c:v>0.25897736801827698</c:v>
                </c:pt>
                <c:pt idx="653">
                  <c:v>0.65873635814939002</c:v>
                </c:pt>
                <c:pt idx="654">
                  <c:v>0.75364653953870897</c:v>
                </c:pt>
                <c:pt idx="655">
                  <c:v>-1.13372828993182</c:v>
                </c:pt>
                <c:pt idx="656">
                  <c:v>-0.98231524750815502</c:v>
                </c:pt>
                <c:pt idx="657">
                  <c:v>-2.70254795658053E-2</c:v>
                </c:pt>
                <c:pt idx="658">
                  <c:v>-1.0571605774850099</c:v>
                </c:pt>
                <c:pt idx="659">
                  <c:v>-0.38829179953992798</c:v>
                </c:pt>
                <c:pt idx="660">
                  <c:v>0.40771738138442598</c:v>
                </c:pt>
                <c:pt idx="661">
                  <c:v>0.240173956648113</c:v>
                </c:pt>
                <c:pt idx="662">
                  <c:v>-0.475760604848394</c:v>
                </c:pt>
                <c:pt idx="663">
                  <c:v>-0.37972601838554698</c:v>
                </c:pt>
                <c:pt idx="664">
                  <c:v>-0.73550260096486497</c:v>
                </c:pt>
                <c:pt idx="665">
                  <c:v>0.70518650879253897</c:v>
                </c:pt>
                <c:pt idx="666">
                  <c:v>-1.8422923728735802E-2</c:v>
                </c:pt>
                <c:pt idx="667">
                  <c:v>-0.46456858676021501</c:v>
                </c:pt>
                <c:pt idx="668">
                  <c:v>0.47923852122444599</c:v>
                </c:pt>
                <c:pt idx="669">
                  <c:v>-0.36121427986744098</c:v>
                </c:pt>
                <c:pt idx="670">
                  <c:v>0.31537289734470197</c:v>
                </c:pt>
                <c:pt idx="671">
                  <c:v>1.07242261706188</c:v>
                </c:pt>
                <c:pt idx="672">
                  <c:v>0.66309382271782602</c:v>
                </c:pt>
                <c:pt idx="673">
                  <c:v>-0.11325211731823299</c:v>
                </c:pt>
                <c:pt idx="674">
                  <c:v>-8.0495706772421002E-2</c:v>
                </c:pt>
                <c:pt idx="675">
                  <c:v>1.3697550476018201</c:v>
                </c:pt>
                <c:pt idx="676">
                  <c:v>-0.12077299394431799</c:v>
                </c:pt>
                <c:pt idx="677">
                  <c:v>0.212958313617024</c:v>
                </c:pt>
                <c:pt idx="678">
                  <c:v>0.23050881025188799</c:v>
                </c:pt>
                <c:pt idx="679">
                  <c:v>0.65395827752189095</c:v>
                </c:pt>
                <c:pt idx="680">
                  <c:v>0.15223388862579099</c:v>
                </c:pt>
                <c:pt idx="681">
                  <c:v>0.25897736801827698</c:v>
                </c:pt>
                <c:pt idx="682">
                  <c:v>0</c:v>
                </c:pt>
                <c:pt idx="683">
                  <c:v>0.42429381047056702</c:v>
                </c:pt>
                <c:pt idx="684">
                  <c:v>1.1460338473629601</c:v>
                </c:pt>
                <c:pt idx="685">
                  <c:v>-1.67022289683854</c:v>
                </c:pt>
                <c:pt idx="686">
                  <c:v>-0.94800575823734401</c:v>
                </c:pt>
                <c:pt idx="687">
                  <c:v>1.33143069926559</c:v>
                </c:pt>
                <c:pt idx="688">
                  <c:v>2.6363132847846402E-2</c:v>
                </c:pt>
                <c:pt idx="689">
                  <c:v>0.20062861118400899</c:v>
                </c:pt>
                <c:pt idx="690">
                  <c:v>-1.07955909697361</c:v>
                </c:pt>
                <c:pt idx="691">
                  <c:v>1.43037744714909</c:v>
                </c:pt>
                <c:pt idx="692">
                  <c:v>0.390532211778785</c:v>
                </c:pt>
                <c:pt idx="693">
                  <c:v>1.28703503915816</c:v>
                </c:pt>
                <c:pt idx="694">
                  <c:v>0.24228623987006401</c:v>
                </c:pt>
                <c:pt idx="695">
                  <c:v>0.12696914452868599</c:v>
                </c:pt>
                <c:pt idx="696">
                  <c:v>-0.72076685264583495</c:v>
                </c:pt>
                <c:pt idx="697">
                  <c:v>2.6586836751998001E-2</c:v>
                </c:pt>
                <c:pt idx="698">
                  <c:v>9.69608165848454E-2</c:v>
                </c:pt>
                <c:pt idx="699">
                  <c:v>-1.07554636895884</c:v>
                </c:pt>
                <c:pt idx="700">
                  <c:v>-1.33773665603104E-2</c:v>
                </c:pt>
                <c:pt idx="701">
                  <c:v>0.115432832862902</c:v>
                </c:pt>
                <c:pt idx="702">
                  <c:v>-0.509930535091492</c:v>
                </c:pt>
                <c:pt idx="703">
                  <c:v>0.29034041954839401</c:v>
                </c:pt>
                <c:pt idx="704">
                  <c:v>-0.85745966903321003</c:v>
                </c:pt>
                <c:pt idx="705">
                  <c:v>-0.40569876210836198</c:v>
                </c:pt>
                <c:pt idx="706">
                  <c:v>7.4523533822324406E-2</c:v>
                </c:pt>
                <c:pt idx="707">
                  <c:v>-0.42786752273906797</c:v>
                </c:pt>
                <c:pt idx="708">
                  <c:v>0.298253837986107</c:v>
                </c:pt>
                <c:pt idx="709">
                  <c:v>-0.25654466379063001</c:v>
                </c:pt>
                <c:pt idx="710">
                  <c:v>-0.61809276820024195</c:v>
                </c:pt>
                <c:pt idx="711">
                  <c:v>0.65873635814939002</c:v>
                </c:pt>
                <c:pt idx="712">
                  <c:v>0.42429381047056702</c:v>
                </c:pt>
                <c:pt idx="713">
                  <c:v>0</c:v>
                </c:pt>
                <c:pt idx="714">
                  <c:v>8.6163573849880604E-2</c:v>
                </c:pt>
                <c:pt idx="715">
                  <c:v>-0.49617690473235798</c:v>
                </c:pt>
                <c:pt idx="716">
                  <c:v>0.79823306242803904</c:v>
                </c:pt>
                <c:pt idx="717">
                  <c:v>3.9216625781124899E-2</c:v>
                </c:pt>
                <c:pt idx="718">
                  <c:v>0.567715437735543</c:v>
                </c:pt>
                <c:pt idx="719">
                  <c:v>0.150457698554741</c:v>
                </c:pt>
                <c:pt idx="720">
                  <c:v>-0.399086772003309</c:v>
                </c:pt>
                <c:pt idx="721">
                  <c:v>0.73773059316831002</c:v>
                </c:pt>
                <c:pt idx="722">
                  <c:v>0.59821355644711105</c:v>
                </c:pt>
                <c:pt idx="723">
                  <c:v>-0.35039700478039398</c:v>
                </c:pt>
                <c:pt idx="724">
                  <c:v>-0.14624220702415699</c:v>
                </c:pt>
                <c:pt idx="725">
                  <c:v>-0.110164523394577</c:v>
                </c:pt>
                <c:pt idx="726">
                  <c:v>-0.19473584664238799</c:v>
                </c:pt>
                <c:pt idx="727">
                  <c:v>-1.72763802593741</c:v>
                </c:pt>
                <c:pt idx="728">
                  <c:v>-0.30216287967738698</c:v>
                </c:pt>
                <c:pt idx="729">
                  <c:v>0.21853869527608699</c:v>
                </c:pt>
                <c:pt idx="730">
                  <c:v>1.73352545860914</c:v>
                </c:pt>
                <c:pt idx="731">
                  <c:v>-1.03423417994375</c:v>
                </c:pt>
                <c:pt idx="732">
                  <c:v>-0.44939574390970899</c:v>
                </c:pt>
                <c:pt idx="733">
                  <c:v>-0.27257046546181801</c:v>
                </c:pt>
                <c:pt idx="734">
                  <c:v>-0.66629084509919601</c:v>
                </c:pt>
                <c:pt idx="735">
                  <c:v>-0.47642953027695001</c:v>
                </c:pt>
                <c:pt idx="736">
                  <c:v>-1.3606459227659899</c:v>
                </c:pt>
                <c:pt idx="737">
                  <c:v>-7.9491270940328596E-2</c:v>
                </c:pt>
                <c:pt idx="738">
                  <c:v>-0.36664155285211603</c:v>
                </c:pt>
                <c:pt idx="739">
                  <c:v>0.37828975634837098</c:v>
                </c:pt>
                <c:pt idx="740">
                  <c:v>4.0593508965108702E-2</c:v>
                </c:pt>
                <c:pt idx="741">
                  <c:v>0.75364653953870897</c:v>
                </c:pt>
                <c:pt idx="742">
                  <c:v>1.1460338473629601</c:v>
                </c:pt>
                <c:pt idx="743">
                  <c:v>8.6163573849880604E-2</c:v>
                </c:pt>
                <c:pt idx="744">
                  <c:v>0</c:v>
                </c:pt>
                <c:pt idx="745">
                  <c:v>1.16807200822889</c:v>
                </c:pt>
                <c:pt idx="746">
                  <c:v>1.1993447047868001E-3</c:v>
                </c:pt>
                <c:pt idx="747">
                  <c:v>-0.43408588193539699</c:v>
                </c:pt>
                <c:pt idx="748">
                  <c:v>0.688618475947123</c:v>
                </c:pt>
                <c:pt idx="749">
                  <c:v>-1.55758881563156</c:v>
                </c:pt>
                <c:pt idx="750">
                  <c:v>-0.29849895313538799</c:v>
                </c:pt>
                <c:pt idx="751">
                  <c:v>-1.18371381814941</c:v>
                </c:pt>
                <c:pt idx="752">
                  <c:v>-0.48622794391304303</c:v>
                </c:pt>
                <c:pt idx="753">
                  <c:v>-0.72632977329843995</c:v>
                </c:pt>
                <c:pt idx="754">
                  <c:v>-0.34829074992099102</c:v>
                </c:pt>
                <c:pt idx="755">
                  <c:v>0.245230511833954</c:v>
                </c:pt>
                <c:pt idx="756">
                  <c:v>0.58644075965159204</c:v>
                </c:pt>
                <c:pt idx="757">
                  <c:v>0.11004884188777</c:v>
                </c:pt>
                <c:pt idx="758">
                  <c:v>5.9194642446617103E-2</c:v>
                </c:pt>
                <c:pt idx="759">
                  <c:v>0.26489408084771299</c:v>
                </c:pt>
                <c:pt idx="760">
                  <c:v>1.8760972464160099</c:v>
                </c:pt>
                <c:pt idx="761">
                  <c:v>0.23526430316235999</c:v>
                </c:pt>
                <c:pt idx="762">
                  <c:v>9.95400073805663E-2</c:v>
                </c:pt>
                <c:pt idx="763">
                  <c:v>1.1156978336523899</c:v>
                </c:pt>
                <c:pt idx="764">
                  <c:v>6.3319815001052299E-2</c:v>
                </c:pt>
                <c:pt idx="765">
                  <c:v>-0.47587136230315502</c:v>
                </c:pt>
                <c:pt idx="766">
                  <c:v>0.65894818259208698</c:v>
                </c:pt>
                <c:pt idx="767">
                  <c:v>-0.25306672553624898</c:v>
                </c:pt>
                <c:pt idx="768">
                  <c:v>0.14290744819338499</c:v>
                </c:pt>
                <c:pt idx="769">
                  <c:v>0.61960257545445796</c:v>
                </c:pt>
                <c:pt idx="770">
                  <c:v>0.57130574403911505</c:v>
                </c:pt>
                <c:pt idx="771">
                  <c:v>-1.13372828993182</c:v>
                </c:pt>
                <c:pt idx="772">
                  <c:v>-1.67022289683854</c:v>
                </c:pt>
                <c:pt idx="773">
                  <c:v>-0.49617690473235798</c:v>
                </c:pt>
                <c:pt idx="774">
                  <c:v>1.16807200822889</c:v>
                </c:pt>
                <c:pt idx="775">
                  <c:v>0</c:v>
                </c:pt>
                <c:pt idx="776">
                  <c:v>0.26847705483983098</c:v>
                </c:pt>
                <c:pt idx="777">
                  <c:v>0.41508342513684898</c:v>
                </c:pt>
                <c:pt idx="778">
                  <c:v>1.10360549287983</c:v>
                </c:pt>
                <c:pt idx="779">
                  <c:v>0.88464220802668103</c:v>
                </c:pt>
                <c:pt idx="780">
                  <c:v>-0.123061200463822</c:v>
                </c:pt>
                <c:pt idx="781">
                  <c:v>1.3568087572805801E-2</c:v>
                </c:pt>
                <c:pt idx="782">
                  <c:v>-0.608131166551236</c:v>
                </c:pt>
                <c:pt idx="783">
                  <c:v>-1.62277063110755E-2</c:v>
                </c:pt>
                <c:pt idx="784">
                  <c:v>-0.42590262099918602</c:v>
                </c:pt>
                <c:pt idx="785">
                  <c:v>0.61511345235090997</c:v>
                </c:pt>
                <c:pt idx="786">
                  <c:v>-0.40362536036631902</c:v>
                </c:pt>
                <c:pt idx="787">
                  <c:v>0.92254772374947702</c:v>
                </c:pt>
                <c:pt idx="788">
                  <c:v>-3.0154022455411902E-2</c:v>
                </c:pt>
                <c:pt idx="789">
                  <c:v>0.63323587997992004</c:v>
                </c:pt>
                <c:pt idx="790">
                  <c:v>1.6156371964724101</c:v>
                </c:pt>
                <c:pt idx="791">
                  <c:v>4.7254095061737299E-2</c:v>
                </c:pt>
                <c:pt idx="792">
                  <c:v>1.05683433101985</c:v>
                </c:pt>
                <c:pt idx="793">
                  <c:v>-0.75834673934236996</c:v>
                </c:pt>
                <c:pt idx="794">
                  <c:v>1.28929935428528</c:v>
                </c:pt>
                <c:pt idx="795">
                  <c:v>-0.85448844832460302</c:v>
                </c:pt>
                <c:pt idx="796">
                  <c:v>-4.6238840510950098E-2</c:v>
                </c:pt>
                <c:pt idx="797">
                  <c:v>-0.23110818400820701</c:v>
                </c:pt>
                <c:pt idx="798">
                  <c:v>-0.81257225324690097</c:v>
                </c:pt>
                <c:pt idx="799">
                  <c:v>-0.92492516117919998</c:v>
                </c:pt>
                <c:pt idx="800">
                  <c:v>0.45706177642260598</c:v>
                </c:pt>
                <c:pt idx="801">
                  <c:v>-0.98231524750815502</c:v>
                </c:pt>
                <c:pt idx="802">
                  <c:v>-0.94800575823734401</c:v>
                </c:pt>
                <c:pt idx="803">
                  <c:v>0.79823306242803904</c:v>
                </c:pt>
                <c:pt idx="804">
                  <c:v>1.1993447047868001E-3</c:v>
                </c:pt>
                <c:pt idx="805">
                  <c:v>0.26847705483983098</c:v>
                </c:pt>
                <c:pt idx="806">
                  <c:v>0</c:v>
                </c:pt>
                <c:pt idx="807">
                  <c:v>-0.85327205151082297</c:v>
                </c:pt>
                <c:pt idx="808">
                  <c:v>1.12164780768816</c:v>
                </c:pt>
                <c:pt idx="809">
                  <c:v>1.4316826477176701</c:v>
                </c:pt>
                <c:pt idx="810">
                  <c:v>-0.10603838279668901</c:v>
                </c:pt>
                <c:pt idx="811">
                  <c:v>0.58846490525570305</c:v>
                </c:pt>
                <c:pt idx="812">
                  <c:v>0.670401649141806</c:v>
                </c:pt>
                <c:pt idx="813">
                  <c:v>-1.3956432240943599</c:v>
                </c:pt>
                <c:pt idx="814">
                  <c:v>-0.277100054020467</c:v>
                </c:pt>
                <c:pt idx="815">
                  <c:v>-0.478507096767608</c:v>
                </c:pt>
                <c:pt idx="816">
                  <c:v>-1.13285495420847E-2</c:v>
                </c:pt>
                <c:pt idx="817">
                  <c:v>0.36428358567848002</c:v>
                </c:pt>
                <c:pt idx="818">
                  <c:v>0.31454206382537397</c:v>
                </c:pt>
                <c:pt idx="819">
                  <c:v>0.80673693545215197</c:v>
                </c:pt>
                <c:pt idx="820">
                  <c:v>0.316558278001284</c:v>
                </c:pt>
                <c:pt idx="821">
                  <c:v>0.22304993612130999</c:v>
                </c:pt>
                <c:pt idx="822">
                  <c:v>0.66863418435712596</c:v>
                </c:pt>
                <c:pt idx="823">
                  <c:v>0.303110589543378</c:v>
                </c:pt>
                <c:pt idx="824">
                  <c:v>-0.93663854109233902</c:v>
                </c:pt>
                <c:pt idx="825">
                  <c:v>7.76555415951279E-2</c:v>
                </c:pt>
                <c:pt idx="826">
                  <c:v>-1.17006505065017</c:v>
                </c:pt>
                <c:pt idx="827">
                  <c:v>0.78536382340532795</c:v>
                </c:pt>
                <c:pt idx="828">
                  <c:v>-1.49048333217549</c:v>
                </c:pt>
                <c:pt idx="829">
                  <c:v>-0.38879342444725101</c:v>
                </c:pt>
                <c:pt idx="830">
                  <c:v>6.6652411693714095E-2</c:v>
                </c:pt>
                <c:pt idx="831">
                  <c:v>-2.70254795658053E-2</c:v>
                </c:pt>
                <c:pt idx="832">
                  <c:v>1.33143069926559</c:v>
                </c:pt>
                <c:pt idx="833">
                  <c:v>3.9216625781124899E-2</c:v>
                </c:pt>
                <c:pt idx="834">
                  <c:v>-0.43408588193539699</c:v>
                </c:pt>
                <c:pt idx="835">
                  <c:v>0.41508342513684898</c:v>
                </c:pt>
                <c:pt idx="836">
                  <c:v>-0.85327205151082297</c:v>
                </c:pt>
                <c:pt idx="837">
                  <c:v>0</c:v>
                </c:pt>
                <c:pt idx="838">
                  <c:v>0.60549396512855103</c:v>
                </c:pt>
                <c:pt idx="839">
                  <c:v>-2.7504131206376101E-2</c:v>
                </c:pt>
                <c:pt idx="840">
                  <c:v>-1.3282765069042199</c:v>
                </c:pt>
                <c:pt idx="841">
                  <c:v>-0.29981922229539698</c:v>
                </c:pt>
                <c:pt idx="842">
                  <c:v>0.54959304235560902</c:v>
                </c:pt>
                <c:pt idx="843">
                  <c:v>-0.50482191604376803</c:v>
                </c:pt>
                <c:pt idx="844">
                  <c:v>1.1205094569346901</c:v>
                </c:pt>
                <c:pt idx="845">
                  <c:v>-0.628130959299391</c:v>
                </c:pt>
                <c:pt idx="846">
                  <c:v>1.5137950833399301</c:v>
                </c:pt>
                <c:pt idx="847">
                  <c:v>-0.48944384316488299</c:v>
                </c:pt>
                <c:pt idx="848">
                  <c:v>7.0213828229987604E-2</c:v>
                </c:pt>
                <c:pt idx="849">
                  <c:v>1.0146829814095399</c:v>
                </c:pt>
                <c:pt idx="850">
                  <c:v>0.87214633088606897</c:v>
                </c:pt>
                <c:pt idx="851">
                  <c:v>-0.53573559091358103</c:v>
                </c:pt>
                <c:pt idx="852">
                  <c:v>0.522253613866274</c:v>
                </c:pt>
                <c:pt idx="853">
                  <c:v>-0.78797238578175399</c:v>
                </c:pt>
                <c:pt idx="854">
                  <c:v>-1.2062315970900299</c:v>
                </c:pt>
                <c:pt idx="855">
                  <c:v>0.46751238069171103</c:v>
                </c:pt>
                <c:pt idx="856">
                  <c:v>-1.2230415972366799</c:v>
                </c:pt>
                <c:pt idx="857">
                  <c:v>-1.5118462788848901</c:v>
                </c:pt>
                <c:pt idx="858">
                  <c:v>-4.2460111167729103E-2</c:v>
                </c:pt>
                <c:pt idx="859">
                  <c:v>0.97983129588014894</c:v>
                </c:pt>
                <c:pt idx="860">
                  <c:v>0.86112584927744396</c:v>
                </c:pt>
                <c:pt idx="861">
                  <c:v>-1.0571605774850099</c:v>
                </c:pt>
                <c:pt idx="862">
                  <c:v>2.6363132847846402E-2</c:v>
                </c:pt>
                <c:pt idx="863">
                  <c:v>0.567715437735543</c:v>
                </c:pt>
                <c:pt idx="864">
                  <c:v>0.688618475947123</c:v>
                </c:pt>
                <c:pt idx="865">
                  <c:v>1.10360549287983</c:v>
                </c:pt>
                <c:pt idx="866">
                  <c:v>1.12164780768816</c:v>
                </c:pt>
                <c:pt idx="867">
                  <c:v>0.60549396512855103</c:v>
                </c:pt>
                <c:pt idx="868">
                  <c:v>0</c:v>
                </c:pt>
                <c:pt idx="869">
                  <c:v>0.70610525425945703</c:v>
                </c:pt>
                <c:pt idx="870">
                  <c:v>1.2318340230076601</c:v>
                </c:pt>
                <c:pt idx="871">
                  <c:v>-1.4152707502880999</c:v>
                </c:pt>
                <c:pt idx="872">
                  <c:v>0.59078558875562803</c:v>
                </c:pt>
                <c:pt idx="873">
                  <c:v>-0.24240916301278401</c:v>
                </c:pt>
                <c:pt idx="874">
                  <c:v>-0.33797024296862599</c:v>
                </c:pt>
                <c:pt idx="875">
                  <c:v>-0.62868963814024803</c:v>
                </c:pt>
                <c:pt idx="876">
                  <c:v>0.89337929643480096</c:v>
                </c:pt>
                <c:pt idx="877">
                  <c:v>0.27096414221656001</c:v>
                </c:pt>
                <c:pt idx="878">
                  <c:v>-8.4051916289703404E-2</c:v>
                </c:pt>
                <c:pt idx="879">
                  <c:v>0.29503829965059303</c:v>
                </c:pt>
                <c:pt idx="880">
                  <c:v>0.71645601441023699</c:v>
                </c:pt>
                <c:pt idx="881">
                  <c:v>-0.61484171393075204</c:v>
                </c:pt>
                <c:pt idx="882">
                  <c:v>-0.56192395395350403</c:v>
                </c:pt>
                <c:pt idx="883">
                  <c:v>0.48684463209365397</c:v>
                </c:pt>
                <c:pt idx="884">
                  <c:v>1.1212400782956</c:v>
                </c:pt>
                <c:pt idx="885">
                  <c:v>0.88400994210606498</c:v>
                </c:pt>
                <c:pt idx="886">
                  <c:v>-8.1744024113293998E-2</c:v>
                </c:pt>
                <c:pt idx="887">
                  <c:v>-0.94170340829253596</c:v>
                </c:pt>
                <c:pt idx="888">
                  <c:v>-1.65661371108706</c:v>
                </c:pt>
                <c:pt idx="889">
                  <c:v>-0.65517921720258798</c:v>
                </c:pt>
                <c:pt idx="890">
                  <c:v>0.79872485015633399</c:v>
                </c:pt>
                <c:pt idx="891">
                  <c:v>-0.38829179953992798</c:v>
                </c:pt>
                <c:pt idx="892">
                  <c:v>0.20062861118400899</c:v>
                </c:pt>
                <c:pt idx="893">
                  <c:v>0.150457698554741</c:v>
                </c:pt>
                <c:pt idx="894">
                  <c:v>-1.55758881563156</c:v>
                </c:pt>
                <c:pt idx="895">
                  <c:v>0.88464220802668103</c:v>
                </c:pt>
                <c:pt idx="896">
                  <c:v>1.4316826477176701</c:v>
                </c:pt>
                <c:pt idx="897">
                  <c:v>-2.7504131206376101E-2</c:v>
                </c:pt>
                <c:pt idx="898">
                  <c:v>0.70610525425945703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</c:numCache>
            </c:numRef>
          </c:xVal>
          <c:yVal>
            <c:numRef>
              <c:f>SCA_flatten!$C$1:$C$1024</c:f>
              <c:numCache>
                <c:formatCode>General</c:formatCode>
                <c:ptCount val="10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7</c:v>
                </c:pt>
                <c:pt idx="99">
                  <c:v>0</c:v>
                </c:pt>
                <c:pt idx="100">
                  <c:v>15</c:v>
                </c:pt>
                <c:pt idx="101">
                  <c:v>5</c:v>
                </c:pt>
                <c:pt idx="102">
                  <c:v>0</c:v>
                </c:pt>
                <c:pt idx="103">
                  <c:v>0</c:v>
                </c:pt>
                <c:pt idx="104">
                  <c:v>16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7</c:v>
                </c:pt>
                <c:pt idx="117">
                  <c:v>0</c:v>
                </c:pt>
                <c:pt idx="118">
                  <c:v>11</c:v>
                </c:pt>
                <c:pt idx="119">
                  <c:v>16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94</c:v>
                </c:pt>
                <c:pt idx="189">
                  <c:v>0</c:v>
                </c:pt>
                <c:pt idx="190">
                  <c:v>183</c:v>
                </c:pt>
                <c:pt idx="191">
                  <c:v>61</c:v>
                </c:pt>
                <c:pt idx="192">
                  <c:v>0</c:v>
                </c:pt>
                <c:pt idx="193">
                  <c:v>0</c:v>
                </c:pt>
                <c:pt idx="194">
                  <c:v>195</c:v>
                </c:pt>
                <c:pt idx="195">
                  <c:v>0</c:v>
                </c:pt>
                <c:pt idx="196">
                  <c:v>30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13</c:v>
                </c:pt>
                <c:pt idx="204">
                  <c:v>0</c:v>
                </c:pt>
                <c:pt idx="205">
                  <c:v>0</c:v>
                </c:pt>
                <c:pt idx="206">
                  <c:v>83</c:v>
                </c:pt>
                <c:pt idx="207">
                  <c:v>0</c:v>
                </c:pt>
                <c:pt idx="208">
                  <c:v>141</c:v>
                </c:pt>
                <c:pt idx="209">
                  <c:v>200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53</c:v>
                </c:pt>
                <c:pt idx="609">
                  <c:v>0</c:v>
                </c:pt>
                <c:pt idx="610">
                  <c:v>104</c:v>
                </c:pt>
                <c:pt idx="611">
                  <c:v>34</c:v>
                </c:pt>
                <c:pt idx="612">
                  <c:v>0</c:v>
                </c:pt>
                <c:pt idx="613">
                  <c:v>0</c:v>
                </c:pt>
                <c:pt idx="614">
                  <c:v>111</c:v>
                </c:pt>
                <c:pt idx="615">
                  <c:v>0</c:v>
                </c:pt>
                <c:pt idx="616">
                  <c:v>17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7</c:v>
                </c:pt>
                <c:pt idx="624">
                  <c:v>0</c:v>
                </c:pt>
                <c:pt idx="625">
                  <c:v>0</c:v>
                </c:pt>
                <c:pt idx="626">
                  <c:v>47</c:v>
                </c:pt>
                <c:pt idx="627">
                  <c:v>0</c:v>
                </c:pt>
                <c:pt idx="628">
                  <c:v>80</c:v>
                </c:pt>
                <c:pt idx="629">
                  <c:v>114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53</c:v>
                </c:pt>
                <c:pt idx="669">
                  <c:v>0</c:v>
                </c:pt>
                <c:pt idx="670">
                  <c:v>104</c:v>
                </c:pt>
                <c:pt idx="671">
                  <c:v>34</c:v>
                </c:pt>
                <c:pt idx="672">
                  <c:v>0</c:v>
                </c:pt>
                <c:pt idx="673">
                  <c:v>0</c:v>
                </c:pt>
                <c:pt idx="674">
                  <c:v>110</c:v>
                </c:pt>
                <c:pt idx="675">
                  <c:v>0</c:v>
                </c:pt>
                <c:pt idx="676">
                  <c:v>17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7</c:v>
                </c:pt>
                <c:pt idx="684">
                  <c:v>0</c:v>
                </c:pt>
                <c:pt idx="685">
                  <c:v>0</c:v>
                </c:pt>
                <c:pt idx="686">
                  <c:v>47</c:v>
                </c:pt>
                <c:pt idx="687">
                  <c:v>0</c:v>
                </c:pt>
                <c:pt idx="688">
                  <c:v>80</c:v>
                </c:pt>
                <c:pt idx="689">
                  <c:v>113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32</c:v>
                </c:pt>
                <c:pt idx="699">
                  <c:v>0</c:v>
                </c:pt>
                <c:pt idx="700">
                  <c:v>63</c:v>
                </c:pt>
                <c:pt idx="701">
                  <c:v>21</c:v>
                </c:pt>
                <c:pt idx="702">
                  <c:v>0</c:v>
                </c:pt>
                <c:pt idx="703">
                  <c:v>0</c:v>
                </c:pt>
                <c:pt idx="704">
                  <c:v>67</c:v>
                </c:pt>
                <c:pt idx="705">
                  <c:v>0</c:v>
                </c:pt>
                <c:pt idx="706">
                  <c:v>10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</c:v>
                </c:pt>
                <c:pt idx="714">
                  <c:v>0</c:v>
                </c:pt>
                <c:pt idx="715">
                  <c:v>0</c:v>
                </c:pt>
                <c:pt idx="716">
                  <c:v>28</c:v>
                </c:pt>
                <c:pt idx="717">
                  <c:v>0</c:v>
                </c:pt>
                <c:pt idx="718">
                  <c:v>48</c:v>
                </c:pt>
                <c:pt idx="719">
                  <c:v>68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42</c:v>
                </c:pt>
                <c:pt idx="759">
                  <c:v>0</c:v>
                </c:pt>
                <c:pt idx="760">
                  <c:v>81</c:v>
                </c:pt>
                <c:pt idx="761">
                  <c:v>27</c:v>
                </c:pt>
                <c:pt idx="762">
                  <c:v>0</c:v>
                </c:pt>
                <c:pt idx="763">
                  <c:v>0</c:v>
                </c:pt>
                <c:pt idx="764">
                  <c:v>87</c:v>
                </c:pt>
                <c:pt idx="765">
                  <c:v>0</c:v>
                </c:pt>
                <c:pt idx="766">
                  <c:v>13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6</c:v>
                </c:pt>
                <c:pt idx="774">
                  <c:v>0</c:v>
                </c:pt>
                <c:pt idx="775">
                  <c:v>0</c:v>
                </c:pt>
                <c:pt idx="776">
                  <c:v>37</c:v>
                </c:pt>
                <c:pt idx="777">
                  <c:v>0</c:v>
                </c:pt>
                <c:pt idx="778">
                  <c:v>63</c:v>
                </c:pt>
                <c:pt idx="779">
                  <c:v>89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94</c:v>
                </c:pt>
                <c:pt idx="789">
                  <c:v>0</c:v>
                </c:pt>
                <c:pt idx="790">
                  <c:v>183</c:v>
                </c:pt>
                <c:pt idx="791">
                  <c:v>61</c:v>
                </c:pt>
                <c:pt idx="792">
                  <c:v>0</c:v>
                </c:pt>
                <c:pt idx="793">
                  <c:v>0</c:v>
                </c:pt>
                <c:pt idx="794">
                  <c:v>195</c:v>
                </c:pt>
                <c:pt idx="795">
                  <c:v>0</c:v>
                </c:pt>
                <c:pt idx="796">
                  <c:v>30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13</c:v>
                </c:pt>
                <c:pt idx="804">
                  <c:v>0</c:v>
                </c:pt>
                <c:pt idx="805">
                  <c:v>0</c:v>
                </c:pt>
                <c:pt idx="806">
                  <c:v>83</c:v>
                </c:pt>
                <c:pt idx="807">
                  <c:v>0</c:v>
                </c:pt>
                <c:pt idx="808">
                  <c:v>141</c:v>
                </c:pt>
                <c:pt idx="809">
                  <c:v>200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94</c:v>
                </c:pt>
                <c:pt idx="879">
                  <c:v>0</c:v>
                </c:pt>
                <c:pt idx="880">
                  <c:v>183</c:v>
                </c:pt>
                <c:pt idx="881">
                  <c:v>61</c:v>
                </c:pt>
                <c:pt idx="882">
                  <c:v>0</c:v>
                </c:pt>
                <c:pt idx="883">
                  <c:v>0</c:v>
                </c:pt>
                <c:pt idx="884">
                  <c:v>195</c:v>
                </c:pt>
                <c:pt idx="885">
                  <c:v>0</c:v>
                </c:pt>
                <c:pt idx="886">
                  <c:v>30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13</c:v>
                </c:pt>
                <c:pt idx="894">
                  <c:v>0</c:v>
                </c:pt>
                <c:pt idx="895">
                  <c:v>0</c:v>
                </c:pt>
                <c:pt idx="896">
                  <c:v>83</c:v>
                </c:pt>
                <c:pt idx="897">
                  <c:v>0</c:v>
                </c:pt>
                <c:pt idx="898">
                  <c:v>141</c:v>
                </c:pt>
                <c:pt idx="899">
                  <c:v>200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9-4DCA-A9F2-780A3793B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460544"/>
        <c:axId val="1514459584"/>
      </c:scatterChart>
      <c:valAx>
        <c:axId val="151446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59584"/>
        <c:crosses val="autoZero"/>
        <c:crossBetween val="midCat"/>
      </c:valAx>
      <c:valAx>
        <c:axId val="15144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Cross-specific</a:t>
                </a:r>
                <a:r>
                  <a:rPr lang="en-US" baseline="0"/>
                  <a:t> contributions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60544"/>
        <c:crossesAt val="-2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54159</xdr:rowOff>
    </xdr:from>
    <xdr:to>
      <xdr:col>4</xdr:col>
      <xdr:colOff>579783</xdr:colOff>
      <xdr:row>59</xdr:row>
      <xdr:rowOff>66263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8CDAD05-9A73-1003-873C-E55C79D8BC58}"/>
            </a:ext>
          </a:extLst>
        </xdr:cNvPr>
        <xdr:cNvGrpSpPr/>
      </xdr:nvGrpSpPr>
      <xdr:grpSpPr>
        <a:xfrm>
          <a:off x="0" y="9376753"/>
          <a:ext cx="3199158" cy="3250604"/>
          <a:chOff x="0" y="9736527"/>
          <a:chExt cx="3031435" cy="3250604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383E5BB4-0C0F-A694-E071-AD31E37970CA}"/>
              </a:ext>
            </a:extLst>
          </xdr:cNvPr>
          <xdr:cNvGrpSpPr/>
        </xdr:nvGrpSpPr>
        <xdr:grpSpPr>
          <a:xfrm>
            <a:off x="0" y="9736527"/>
            <a:ext cx="3031435" cy="3225756"/>
            <a:chOff x="0" y="9355527"/>
            <a:chExt cx="3031435" cy="3225756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6566485F-6F34-2B76-857C-7B73820E311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50311" t="14895" r="20723" b="34231"/>
            <a:stretch>
              <a:fillRect/>
            </a:stretch>
          </xdr:blipFill>
          <xdr:spPr>
            <a:xfrm>
              <a:off x="0" y="9355527"/>
              <a:ext cx="3031435" cy="3185186"/>
            </a:xfrm>
            <a:prstGeom prst="rect">
              <a:avLst/>
            </a:prstGeom>
          </xdr:spPr>
        </xdr:pic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EAE8ABB7-3EE3-4440-8272-B061B6136466}"/>
                </a:ext>
              </a:extLst>
            </xdr:cNvPr>
            <xdr:cNvSpPr/>
          </xdr:nvSpPr>
          <xdr:spPr>
            <a:xfrm>
              <a:off x="1540565" y="12283108"/>
              <a:ext cx="819978" cy="2981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9" name="Graphic 8" descr="Cursor outline">
            <a:extLst>
              <a:ext uri="{FF2B5EF4-FFF2-40B4-BE49-F238E27FC236}">
                <a16:creationId xmlns:a16="http://schemas.microsoft.com/office/drawing/2014/main" id="{7F09D0F2-9F6E-617E-D438-9B6F29CC53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136916" y="12713805"/>
            <a:ext cx="273326" cy="27332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</xdr:colOff>
      <xdr:row>34</xdr:row>
      <xdr:rowOff>54429</xdr:rowOff>
    </xdr:from>
    <xdr:to>
      <xdr:col>8</xdr:col>
      <xdr:colOff>513520</xdr:colOff>
      <xdr:row>37</xdr:row>
      <xdr:rowOff>16562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228EC8B-5342-4AD7-3784-6CECF5A1D6A0}"/>
            </a:ext>
          </a:extLst>
        </xdr:cNvPr>
        <xdr:cNvGrpSpPr/>
      </xdr:nvGrpSpPr>
      <xdr:grpSpPr>
        <a:xfrm>
          <a:off x="1" y="7853023"/>
          <a:ext cx="5752269" cy="533633"/>
          <a:chOff x="1" y="7864929"/>
          <a:chExt cx="5416823" cy="533633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595E39DD-C4BE-A126-33BD-E795E769F4D8}"/>
              </a:ext>
            </a:extLst>
          </xdr:cNvPr>
          <xdr:cNvGrpSpPr/>
        </xdr:nvGrpSpPr>
        <xdr:grpSpPr>
          <a:xfrm>
            <a:off x="1" y="7864929"/>
            <a:ext cx="5406768" cy="509121"/>
            <a:chOff x="1" y="7864929"/>
            <a:chExt cx="5406768" cy="509121"/>
          </a:xfrm>
        </xdr:grpSpPr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EA964D70-9746-712E-D024-ECE6BBACD8D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20310" t="4216" r="4700" b="84005"/>
            <a:stretch>
              <a:fillRect/>
            </a:stretch>
          </xdr:blipFill>
          <xdr:spPr>
            <a:xfrm>
              <a:off x="1" y="7864929"/>
              <a:ext cx="5406768" cy="509121"/>
            </a:xfrm>
            <a:prstGeom prst="rect">
              <a:avLst/>
            </a:prstGeom>
          </xdr:spPr>
        </xdr:pic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A8173528-7E19-45CF-8190-1013C9F87E91}"/>
                </a:ext>
              </a:extLst>
            </xdr:cNvPr>
            <xdr:cNvSpPr/>
          </xdr:nvSpPr>
          <xdr:spPr>
            <a:xfrm>
              <a:off x="4957170" y="8054866"/>
              <a:ext cx="335017" cy="197069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11" name="Graphic 10" descr="Cursor outline">
            <a:extLst>
              <a:ext uri="{FF2B5EF4-FFF2-40B4-BE49-F238E27FC236}">
                <a16:creationId xmlns:a16="http://schemas.microsoft.com/office/drawing/2014/main" id="{9E45E40B-0140-4472-9E37-3F32F26CB2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143498" y="8125236"/>
            <a:ext cx="273326" cy="27332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26</xdr:row>
      <xdr:rowOff>0</xdr:rowOff>
    </xdr:from>
    <xdr:to>
      <xdr:col>8</xdr:col>
      <xdr:colOff>326572</xdr:colOff>
      <xdr:row>32</xdr:row>
      <xdr:rowOff>123004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2C1308D-48F5-14BA-CD61-3EB943CB4094}"/>
            </a:ext>
          </a:extLst>
        </xdr:cNvPr>
        <xdr:cNvGrpSpPr/>
      </xdr:nvGrpSpPr>
      <xdr:grpSpPr>
        <a:xfrm>
          <a:off x="0" y="6274594"/>
          <a:ext cx="5565322" cy="1266004"/>
          <a:chOff x="0" y="6286500"/>
          <a:chExt cx="5229876" cy="126600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38F4B7ED-0884-9D86-15F4-35BC2BE2825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57282" b="83952"/>
          <a:stretch>
            <a:fillRect/>
          </a:stretch>
        </xdr:blipFill>
        <xdr:spPr>
          <a:xfrm>
            <a:off x="0" y="6286500"/>
            <a:ext cx="5229876" cy="1266004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0D4FBA8-2CEF-92AE-7583-61308006C938}"/>
              </a:ext>
            </a:extLst>
          </xdr:cNvPr>
          <xdr:cNvSpPr/>
        </xdr:nvSpPr>
        <xdr:spPr>
          <a:xfrm>
            <a:off x="2376820" y="6377891"/>
            <a:ext cx="337016" cy="19706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2" name="Graphic 11" descr="Cursor outline">
            <a:extLst>
              <a:ext uri="{FF2B5EF4-FFF2-40B4-BE49-F238E27FC236}">
                <a16:creationId xmlns:a16="http://schemas.microsoft.com/office/drawing/2014/main" id="{FC710999-5BAF-4030-96E5-6492CE1DB9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667003" y="6493562"/>
            <a:ext cx="273326" cy="2733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83</xdr:col>
      <xdr:colOff>25854</xdr:colOff>
      <xdr:row>4</xdr:row>
      <xdr:rowOff>56470</xdr:rowOff>
    </xdr:from>
    <xdr:to>
      <xdr:col>90</xdr:col>
      <xdr:colOff>374197</xdr:colOff>
      <xdr:row>18</xdr:row>
      <xdr:rowOff>132670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157CB-02F7-0861-3776-70A35C2C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A98C2-A112-4FB7-AB9A-CB9CC9654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tiburek@fld.czu.cz%20" TargetMode="External"/><Relationship Id="rId1" Type="http://schemas.openxmlformats.org/officeDocument/2006/relationships/hyperlink" Target="mailto:csagariya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71A1-024A-4CE7-BFAE-DA7CEF240D6C}">
  <dimension ref="A2:I71"/>
  <sheetViews>
    <sheetView showGridLines="0" tabSelected="1" view="pageLayout" zoomScale="160" zoomScaleNormal="145" zoomScalePageLayoutView="160" workbookViewId="0">
      <selection activeCell="A9" sqref="A9:I9"/>
    </sheetView>
  </sheetViews>
  <sheetFormatPr defaultRowHeight="15" x14ac:dyDescent="0.25"/>
  <sheetData>
    <row r="2" spans="1:9" ht="15.75" thickBot="1" x14ac:dyDescent="0.3">
      <c r="A2" s="64" t="s">
        <v>25</v>
      </c>
      <c r="B2" s="64"/>
      <c r="C2" s="64"/>
      <c r="D2" s="64"/>
      <c r="E2" s="64"/>
      <c r="F2" s="64"/>
      <c r="G2" s="64"/>
      <c r="H2" s="64"/>
      <c r="I2" s="64"/>
    </row>
    <row r="3" spans="1:9" x14ac:dyDescent="0.25">
      <c r="A3" s="58"/>
      <c r="B3" s="58"/>
      <c r="C3" s="58"/>
      <c r="D3" s="58"/>
      <c r="E3" s="58"/>
      <c r="F3" s="58"/>
      <c r="G3" s="58"/>
      <c r="H3" s="58"/>
      <c r="I3" s="58"/>
    </row>
    <row r="4" spans="1:9" x14ac:dyDescent="0.25">
      <c r="A4" s="65" t="s">
        <v>24</v>
      </c>
      <c r="B4" s="65"/>
      <c r="C4" s="65"/>
      <c r="D4" s="65"/>
      <c r="E4" s="65"/>
      <c r="F4" s="65"/>
      <c r="G4" s="65"/>
      <c r="H4" s="65"/>
      <c r="I4" s="65"/>
    </row>
    <row r="5" spans="1:9" x14ac:dyDescent="0.25">
      <c r="A5" s="56"/>
      <c r="B5" s="59" t="s">
        <v>19</v>
      </c>
      <c r="C5" s="59"/>
      <c r="D5" s="59"/>
      <c r="E5" s="59"/>
      <c r="F5" s="59"/>
      <c r="G5" s="59"/>
      <c r="H5" s="59"/>
      <c r="I5" s="59"/>
    </row>
    <row r="6" spans="1:9" x14ac:dyDescent="0.25">
      <c r="A6" s="57"/>
      <c r="B6" s="59" t="s">
        <v>18</v>
      </c>
      <c r="C6" s="59"/>
      <c r="D6" s="59"/>
      <c r="E6" s="59"/>
      <c r="F6" s="59"/>
      <c r="G6" s="59"/>
      <c r="H6" s="59"/>
      <c r="I6" s="59"/>
    </row>
    <row r="8" spans="1:9" x14ac:dyDescent="0.25">
      <c r="A8" s="66" t="s">
        <v>20</v>
      </c>
      <c r="B8" s="66"/>
      <c r="C8" s="66"/>
      <c r="D8" s="66"/>
      <c r="E8" s="66"/>
      <c r="F8" s="66"/>
      <c r="G8" s="66"/>
      <c r="H8" s="66"/>
      <c r="I8" s="66"/>
    </row>
    <row r="9" spans="1:9" x14ac:dyDescent="0.25">
      <c r="A9" s="59" t="s">
        <v>21</v>
      </c>
      <c r="B9" s="59"/>
      <c r="C9" s="59"/>
      <c r="D9" s="59"/>
      <c r="E9" s="59"/>
      <c r="F9" s="59"/>
      <c r="G9" s="59"/>
      <c r="H9" s="59"/>
      <c r="I9" s="59"/>
    </row>
    <row r="10" spans="1:9" x14ac:dyDescent="0.25">
      <c r="A10" s="59" t="s">
        <v>22</v>
      </c>
      <c r="B10" s="59"/>
      <c r="C10" s="59"/>
      <c r="D10" s="59"/>
      <c r="E10" s="59"/>
      <c r="F10" s="59"/>
      <c r="G10" s="59"/>
      <c r="H10" s="59"/>
      <c r="I10" s="59"/>
    </row>
    <row r="11" spans="1:9" ht="33.75" customHeight="1" x14ac:dyDescent="0.25">
      <c r="A11" s="63" t="s">
        <v>23</v>
      </c>
      <c r="B11" s="63"/>
      <c r="C11" s="63"/>
      <c r="D11" s="63"/>
      <c r="E11" s="63"/>
      <c r="F11" s="63"/>
      <c r="G11" s="63"/>
      <c r="H11" s="63"/>
      <c r="I11" s="63"/>
    </row>
    <row r="13" spans="1:9" x14ac:dyDescent="0.25">
      <c r="A13" s="66" t="s">
        <v>26</v>
      </c>
      <c r="B13" s="66"/>
      <c r="C13" s="66"/>
      <c r="D13" s="66"/>
      <c r="E13" s="66"/>
      <c r="F13" s="66"/>
      <c r="G13" s="66"/>
      <c r="H13" s="66"/>
      <c r="I13" s="66"/>
    </row>
    <row r="14" spans="1:9" ht="32.25" customHeight="1" x14ac:dyDescent="0.25">
      <c r="A14" s="63" t="s">
        <v>28</v>
      </c>
      <c r="B14" s="63"/>
      <c r="C14" s="63"/>
      <c r="D14" s="63"/>
      <c r="E14" s="63"/>
      <c r="F14" s="63"/>
      <c r="G14" s="63"/>
      <c r="H14" s="63"/>
      <c r="I14" s="63"/>
    </row>
    <row r="16" spans="1:9" ht="28.5" customHeight="1" x14ac:dyDescent="0.25">
      <c r="A16" s="61" t="s">
        <v>29</v>
      </c>
      <c r="B16" s="61"/>
      <c r="C16" s="61"/>
      <c r="D16" s="61"/>
      <c r="E16" s="61"/>
      <c r="F16" s="61"/>
      <c r="G16" s="61"/>
      <c r="H16" s="61"/>
      <c r="I16" s="61"/>
    </row>
    <row r="18" spans="1:9" ht="33" customHeight="1" x14ac:dyDescent="0.25">
      <c r="A18" s="63" t="s">
        <v>30</v>
      </c>
      <c r="B18" s="63"/>
      <c r="C18" s="63"/>
      <c r="D18" s="63"/>
      <c r="E18" s="63"/>
      <c r="F18" s="63"/>
      <c r="G18" s="63"/>
      <c r="H18" s="63"/>
      <c r="I18" s="63"/>
    </row>
    <row r="20" spans="1:9" ht="48" customHeight="1" x14ac:dyDescent="0.25">
      <c r="A20" s="63" t="s">
        <v>31</v>
      </c>
      <c r="B20" s="63"/>
      <c r="C20" s="63"/>
      <c r="D20" s="63"/>
      <c r="E20" s="63"/>
      <c r="F20" s="63"/>
      <c r="G20" s="63"/>
      <c r="H20" s="63"/>
      <c r="I20" s="63"/>
    </row>
    <row r="21" spans="1:9" ht="18" x14ac:dyDescent="0.35">
      <c r="A21" t="s">
        <v>32</v>
      </c>
    </row>
    <row r="22" spans="1:9" x14ac:dyDescent="0.25">
      <c r="A22" t="s">
        <v>37</v>
      </c>
    </row>
    <row r="24" spans="1:9" x14ac:dyDescent="0.25">
      <c r="A24" s="66" t="s">
        <v>33</v>
      </c>
      <c r="B24" s="66"/>
      <c r="C24" s="66"/>
      <c r="D24" s="66"/>
      <c r="E24" s="66"/>
      <c r="F24" s="66"/>
      <c r="G24" s="66"/>
      <c r="H24" s="66"/>
      <c r="I24" s="66"/>
    </row>
    <row r="26" spans="1:9" x14ac:dyDescent="0.25">
      <c r="A26" s="68" t="s">
        <v>35</v>
      </c>
      <c r="B26" s="68"/>
      <c r="C26" s="68"/>
      <c r="D26" s="68"/>
      <c r="E26" s="68"/>
      <c r="F26" s="68"/>
      <c r="G26" s="68"/>
      <c r="H26" s="68"/>
      <c r="I26" s="68"/>
    </row>
    <row r="34" spans="1:9" x14ac:dyDescent="0.25">
      <c r="A34" s="67" t="s">
        <v>34</v>
      </c>
    </row>
    <row r="42" spans="1:9" x14ac:dyDescent="0.25">
      <c r="A42" s="60" t="s">
        <v>36</v>
      </c>
      <c r="B42" s="60"/>
      <c r="C42" s="60"/>
      <c r="D42" s="60"/>
      <c r="E42" s="60"/>
      <c r="F42" s="60"/>
      <c r="G42" s="60"/>
      <c r="H42" s="60"/>
      <c r="I42" s="60"/>
    </row>
    <row r="61" spans="1:9" ht="30.75" customHeight="1" x14ac:dyDescent="0.25">
      <c r="A61" s="63" t="s">
        <v>38</v>
      </c>
      <c r="B61" s="63"/>
      <c r="C61" s="63"/>
      <c r="D61" s="63"/>
      <c r="E61" s="63"/>
      <c r="F61" s="63"/>
      <c r="G61" s="63"/>
      <c r="H61" s="63"/>
      <c r="I61" s="63"/>
    </row>
    <row r="62" spans="1:9" x14ac:dyDescent="0.25">
      <c r="A62" s="69"/>
      <c r="B62" s="69"/>
      <c r="C62" s="69"/>
      <c r="D62" s="69"/>
      <c r="E62" s="69"/>
      <c r="F62" s="69"/>
      <c r="G62" s="69"/>
      <c r="H62" s="69"/>
      <c r="I62" s="69"/>
    </row>
    <row r="63" spans="1:9" x14ac:dyDescent="0.25">
      <c r="A63" s="68" t="s">
        <v>39</v>
      </c>
      <c r="B63" s="68"/>
      <c r="C63" s="68"/>
      <c r="D63" s="68"/>
      <c r="E63" s="68"/>
      <c r="F63" s="68"/>
      <c r="G63" s="68"/>
      <c r="H63" s="68"/>
      <c r="I63" s="68"/>
    </row>
    <row r="64" spans="1:9" x14ac:dyDescent="0.25">
      <c r="A64" s="68" t="s">
        <v>40</v>
      </c>
      <c r="B64" s="68"/>
      <c r="C64" s="68"/>
      <c r="D64" s="68"/>
      <c r="E64" s="68"/>
      <c r="F64" s="68"/>
      <c r="G64" s="68"/>
      <c r="H64" s="68"/>
      <c r="I64" s="68"/>
    </row>
    <row r="66" spans="1:9" s="62" customFormat="1" ht="29.25" customHeight="1" x14ac:dyDescent="0.25">
      <c r="A66" s="70" t="s">
        <v>41</v>
      </c>
      <c r="B66" s="70"/>
      <c r="C66" s="70"/>
      <c r="D66" s="70"/>
      <c r="E66" s="70"/>
      <c r="F66" s="70"/>
      <c r="G66" s="70"/>
      <c r="H66" s="70"/>
      <c r="I66" s="70"/>
    </row>
    <row r="69" spans="1:9" x14ac:dyDescent="0.25">
      <c r="B69" t="s">
        <v>42</v>
      </c>
    </row>
    <row r="70" spans="1:9" x14ac:dyDescent="0.25">
      <c r="B70" s="71" t="s">
        <v>44</v>
      </c>
    </row>
    <row r="71" spans="1:9" x14ac:dyDescent="0.25">
      <c r="B71" s="71" t="s">
        <v>43</v>
      </c>
    </row>
  </sheetData>
  <mergeCells count="21">
    <mergeCell ref="A63:I63"/>
    <mergeCell ref="A64:I64"/>
    <mergeCell ref="A66:I66"/>
    <mergeCell ref="A20:I20"/>
    <mergeCell ref="A13:I13"/>
    <mergeCell ref="A24:I24"/>
    <mergeCell ref="A61:I61"/>
    <mergeCell ref="A26:I26"/>
    <mergeCell ref="A42:I42"/>
    <mergeCell ref="A9:I9"/>
    <mergeCell ref="A10:I10"/>
    <mergeCell ref="A11:I11"/>
    <mergeCell ref="A14:I14"/>
    <mergeCell ref="A16:I16"/>
    <mergeCell ref="A18:I18"/>
    <mergeCell ref="A4:I4"/>
    <mergeCell ref="A2:I2"/>
    <mergeCell ref="A3:I3"/>
    <mergeCell ref="B5:I5"/>
    <mergeCell ref="B6:I6"/>
    <mergeCell ref="A8:I8"/>
  </mergeCells>
  <hyperlinks>
    <hyperlink ref="B71" r:id="rId1" xr:uid="{D3644834-3B33-4621-98AC-D8C0ADF9A38A}"/>
    <hyperlink ref="B70" r:id="rId2" xr:uid="{BDD014A9-C1F2-4FA6-AB93-8F79AC9FCEB2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F6BB-64D2-4F6B-8A13-38369390AE99}">
  <dimension ref="A1:DR139"/>
  <sheetViews>
    <sheetView workbookViewId="0">
      <selection activeCell="L10" sqref="L10"/>
    </sheetView>
  </sheetViews>
  <sheetFormatPr defaultRowHeight="15" x14ac:dyDescent="0.25"/>
  <cols>
    <col min="1" max="1" width="3.5703125" customWidth="1"/>
    <col min="2" max="2" width="5.28515625" customWidth="1"/>
    <col min="5" max="5" width="3.42578125" customWidth="1"/>
    <col min="6" max="35" width="4.7109375" customWidth="1"/>
    <col min="36" max="36" width="4.28515625" customWidth="1"/>
    <col min="37" max="37" width="11.140625" customWidth="1"/>
    <col min="40" max="40" width="11.140625" customWidth="1"/>
    <col min="44" max="44" width="18.85546875" bestFit="1" customWidth="1"/>
    <col min="45" max="45" width="5.7109375" customWidth="1"/>
    <col min="46" max="75" width="8.5703125" customWidth="1"/>
    <col min="92" max="123" width="9.28515625"/>
  </cols>
  <sheetData>
    <row r="1" spans="1:12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T1" s="51" t="s">
        <v>27</v>
      </c>
      <c r="AU1" s="51"/>
      <c r="AV1" s="51">
        <v>5000</v>
      </c>
    </row>
    <row r="2" spans="1:122" ht="15.75" thickBot="1" x14ac:dyDescent="0.3">
      <c r="A2" s="1"/>
      <c r="B2" s="1"/>
      <c r="C2" s="1"/>
      <c r="D2" s="1"/>
      <c r="E2" s="1"/>
      <c r="F2" s="54" t="s">
        <v>2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1"/>
      <c r="AK2" s="14"/>
      <c r="AL2" s="9" t="s">
        <v>1</v>
      </c>
      <c r="AM2" s="6"/>
      <c r="AN2" s="6"/>
      <c r="AO2" s="18" t="s">
        <v>15</v>
      </c>
      <c r="AP2" s="18" t="s">
        <v>16</v>
      </c>
    </row>
    <row r="3" spans="1:122" x14ac:dyDescent="0.25">
      <c r="A3" s="1"/>
      <c r="B3" s="7" t="s">
        <v>0</v>
      </c>
      <c r="C3" s="8" t="s">
        <v>1</v>
      </c>
      <c r="D3" s="9" t="s">
        <v>4</v>
      </c>
      <c r="E3" s="3"/>
      <c r="F3" s="10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>
        <v>24</v>
      </c>
      <c r="AD3" s="2">
        <v>25</v>
      </c>
      <c r="AE3" s="2">
        <v>26</v>
      </c>
      <c r="AF3" s="2">
        <v>27</v>
      </c>
      <c r="AG3" s="2">
        <v>28</v>
      </c>
      <c r="AH3" s="2">
        <v>29</v>
      </c>
      <c r="AI3" s="2">
        <v>30</v>
      </c>
      <c r="AJ3" s="1"/>
      <c r="AK3" s="10" t="s">
        <v>3</v>
      </c>
      <c r="AL3" s="12" t="s">
        <v>5</v>
      </c>
      <c r="AM3" s="6">
        <f>SUM(AM4:AM33)</f>
        <v>100.00000000000003</v>
      </c>
      <c r="AN3" s="6"/>
      <c r="AO3" s="19"/>
      <c r="AP3" s="19"/>
      <c r="AS3" s="41"/>
      <c r="AT3" s="40">
        <v>1</v>
      </c>
      <c r="AU3" s="40">
        <v>2</v>
      </c>
      <c r="AV3" s="40">
        <v>3</v>
      </c>
      <c r="AW3" s="40">
        <v>4</v>
      </c>
      <c r="AX3" s="40">
        <v>5</v>
      </c>
      <c r="AY3" s="40">
        <v>6</v>
      </c>
      <c r="AZ3" s="40">
        <v>7</v>
      </c>
      <c r="BA3" s="40">
        <v>8</v>
      </c>
      <c r="BB3" s="40">
        <v>9</v>
      </c>
      <c r="BC3" s="40">
        <v>10</v>
      </c>
      <c r="BD3" s="40">
        <v>11</v>
      </c>
      <c r="BE3" s="40">
        <v>12</v>
      </c>
      <c r="BF3" s="40">
        <v>13</v>
      </c>
      <c r="BG3" s="40">
        <v>14</v>
      </c>
      <c r="BH3" s="40">
        <v>15</v>
      </c>
      <c r="BI3" s="40">
        <v>16</v>
      </c>
      <c r="BJ3" s="40">
        <v>17</v>
      </c>
      <c r="BK3" s="40">
        <v>18</v>
      </c>
      <c r="BL3" s="40">
        <v>19</v>
      </c>
      <c r="BM3" s="40">
        <v>20</v>
      </c>
      <c r="BN3" s="40">
        <v>21</v>
      </c>
      <c r="BO3" s="40">
        <v>22</v>
      </c>
      <c r="BP3" s="40">
        <v>23</v>
      </c>
      <c r="BQ3" s="40">
        <v>24</v>
      </c>
      <c r="BR3" s="40">
        <v>25</v>
      </c>
      <c r="BS3" s="40">
        <v>26</v>
      </c>
      <c r="BT3" s="40">
        <v>27</v>
      </c>
      <c r="BU3" s="40">
        <v>28</v>
      </c>
      <c r="BV3" s="40">
        <v>29</v>
      </c>
      <c r="BW3" s="40">
        <v>30</v>
      </c>
      <c r="BX3" s="38"/>
      <c r="CG3" s="39" t="s">
        <v>10</v>
      </c>
      <c r="CN3" s="41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</row>
    <row r="4" spans="1:122" x14ac:dyDescent="0.25">
      <c r="A4" s="1"/>
      <c r="B4" s="10">
        <v>1</v>
      </c>
      <c r="C4" s="4">
        <v>-0.111175860945149</v>
      </c>
      <c r="D4" s="45">
        <v>0</v>
      </c>
      <c r="E4" s="1"/>
      <c r="F4" s="13">
        <v>0</v>
      </c>
      <c r="G4" s="5">
        <v>1.6365299839493099</v>
      </c>
      <c r="H4" s="5">
        <v>0.14443891944626999</v>
      </c>
      <c r="I4" s="5">
        <v>-0.130353885302981</v>
      </c>
      <c r="J4" s="5">
        <v>0.65183593504495996</v>
      </c>
      <c r="K4" s="5">
        <v>0.107158130483926</v>
      </c>
      <c r="L4" s="5">
        <v>-1.4849538298842799</v>
      </c>
      <c r="M4" s="5">
        <v>-5.5826056726997898E-2</v>
      </c>
      <c r="N4" s="5">
        <v>0.233100622645561</v>
      </c>
      <c r="O4" s="5">
        <v>-0.55120302390134401</v>
      </c>
      <c r="P4" s="5">
        <v>-8.3762498111901798E-3</v>
      </c>
      <c r="Q4" s="5">
        <v>-1.59175273253584</v>
      </c>
      <c r="R4" s="5">
        <v>0.48265320860602501</v>
      </c>
      <c r="S4" s="5">
        <v>0.42670491961294399</v>
      </c>
      <c r="T4" s="5">
        <v>0.21735478943887299</v>
      </c>
      <c r="U4" s="5">
        <v>-0.74091371752017399</v>
      </c>
      <c r="V4" s="5">
        <v>1.18553095114982</v>
      </c>
      <c r="W4" s="5">
        <v>0.73219835913706699</v>
      </c>
      <c r="X4" s="5">
        <v>-1.34738136129875</v>
      </c>
      <c r="Y4" s="5">
        <v>0.54829275156579604</v>
      </c>
      <c r="Z4" s="5">
        <v>-0.48096575605381903</v>
      </c>
      <c r="AA4" s="5">
        <v>-0.27486141415267401</v>
      </c>
      <c r="AB4" s="5">
        <v>0.40771738138442598</v>
      </c>
      <c r="AC4" s="5">
        <v>-1.07955909697361</v>
      </c>
      <c r="AD4" s="5">
        <v>-0.399086772003309</v>
      </c>
      <c r="AE4" s="5">
        <v>-0.29849895313538799</v>
      </c>
      <c r="AF4" s="5">
        <v>-0.123061200463822</v>
      </c>
      <c r="AG4" s="5">
        <v>-0.10603838279668901</v>
      </c>
      <c r="AH4" s="5">
        <v>-1.3282765069042199</v>
      </c>
      <c r="AI4" s="5">
        <v>1.2318340230076601</v>
      </c>
      <c r="AJ4" s="1"/>
      <c r="AK4" s="26">
        <v>0</v>
      </c>
      <c r="AL4" s="15">
        <f t="shared" ref="AL4:AL33" si="0">(AK4+D4)*C4</f>
        <v>0</v>
      </c>
      <c r="AM4" s="37">
        <f t="shared" ref="AM4:AM33" si="1">100*(D4+AK4)/2</f>
        <v>0</v>
      </c>
      <c r="AN4" s="1"/>
      <c r="AO4" s="48">
        <v>0.2</v>
      </c>
      <c r="AP4" s="48">
        <v>0.2</v>
      </c>
      <c r="AQ4" s="47">
        <f t="shared" ref="AQ4:AQ33" si="2">(D4+AK4)/2</f>
        <v>0</v>
      </c>
      <c r="AR4" s="36"/>
      <c r="AS4" s="40">
        <v>1</v>
      </c>
      <c r="AT4" s="52" cm="1">
        <f t="array" ref="AT4">ROUND(INDEX($D$4:$D$33,$AS4)*INDEX($AK$4:$AK$33,AT$3)*$AV$1,0)</f>
        <v>0</v>
      </c>
      <c r="AU4" s="53" cm="1">
        <f t="array" ref="AU4">ROUND(INDEX($D$4:$D$33,$AS4)*INDEX($AK$4:$AK$33,AU$3)*$AV$1,0)</f>
        <v>0</v>
      </c>
      <c r="AV4" s="53" cm="1">
        <f t="array" ref="AV4">ROUND(INDEX($D$4:$D$33,$AS4)*INDEX($AK$4:$AK$33,AV$3)*$AV$1,0)</f>
        <v>0</v>
      </c>
      <c r="AW4" s="53" cm="1">
        <f t="array" ref="AW4">ROUND(INDEX($D$4:$D$33,$AS4)*INDEX($AK$4:$AK$33,AW$3)*$AV$1,0)</f>
        <v>0</v>
      </c>
      <c r="AX4" s="53" cm="1">
        <f t="array" ref="AX4">ROUND(INDEX($D$4:$D$33,$AS4)*INDEX($AK$4:$AK$33,AX$3)*$AV$1,0)</f>
        <v>0</v>
      </c>
      <c r="AY4" s="53" cm="1">
        <f t="array" ref="AY4">ROUND(INDEX($D$4:$D$33,$AS4)*INDEX($AK$4:$AK$33,AY$3)*$AV$1,0)</f>
        <v>0</v>
      </c>
      <c r="AZ4" s="53" cm="1">
        <f t="array" ref="AZ4">ROUND(INDEX($D$4:$D$33,$AS4)*INDEX($AK$4:$AK$33,AZ$3)*$AV$1,0)</f>
        <v>0</v>
      </c>
      <c r="BA4" s="53" cm="1">
        <f t="array" ref="BA4">ROUND(INDEX($D$4:$D$33,$AS4)*INDEX($AK$4:$AK$33,BA$3)*$AV$1,0)</f>
        <v>0</v>
      </c>
      <c r="BB4" s="53" cm="1">
        <f t="array" ref="BB4">ROUND(INDEX($D$4:$D$33,$AS4)*INDEX($AK$4:$AK$33,BB$3)*$AV$1,0)</f>
        <v>0</v>
      </c>
      <c r="BC4" s="53" cm="1">
        <f t="array" ref="BC4">ROUND(INDEX($D$4:$D$33,$AS4)*INDEX($AK$4:$AK$33,BC$3)*$AV$1,0)</f>
        <v>0</v>
      </c>
      <c r="BD4" s="53" cm="1">
        <f t="array" ref="BD4">ROUND(INDEX($D$4:$D$33,$AS4)*INDEX($AK$4:$AK$33,BD$3)*$AV$1,0)</f>
        <v>0</v>
      </c>
      <c r="BE4" s="53" cm="1">
        <f t="array" ref="BE4">ROUND(INDEX($D$4:$D$33,$AS4)*INDEX($AK$4:$AK$33,BE$3)*$AV$1,0)</f>
        <v>0</v>
      </c>
      <c r="BF4" s="53" cm="1">
        <f t="array" ref="BF4">ROUND(INDEX($D$4:$D$33,$AS4)*INDEX($AK$4:$AK$33,BF$3)*$AV$1,0)</f>
        <v>0</v>
      </c>
      <c r="BG4" s="53" cm="1">
        <f t="array" ref="BG4">ROUND(INDEX($D$4:$D$33,$AS4)*INDEX($AK$4:$AK$33,BG$3)*$AV$1,0)</f>
        <v>0</v>
      </c>
      <c r="BH4" s="53" cm="1">
        <f t="array" ref="BH4">ROUND(INDEX($D$4:$D$33,$AS4)*INDEX($AK$4:$AK$33,BH$3)*$AV$1,0)</f>
        <v>0</v>
      </c>
      <c r="BI4" s="53" cm="1">
        <f t="array" ref="BI4">ROUND(INDEX($D$4:$D$33,$AS4)*INDEX($AK$4:$AK$33,BI$3)*$AV$1,0)</f>
        <v>0</v>
      </c>
      <c r="BJ4" s="53" cm="1">
        <f t="array" ref="BJ4">ROUND(INDEX($D$4:$D$33,$AS4)*INDEX($AK$4:$AK$33,BJ$3)*$AV$1,0)</f>
        <v>0</v>
      </c>
      <c r="BK4" s="53" cm="1">
        <f t="array" ref="BK4">ROUND(INDEX($D$4:$D$33,$AS4)*INDEX($AK$4:$AK$33,BK$3)*$AV$1,0)</f>
        <v>0</v>
      </c>
      <c r="BL4" s="53" cm="1">
        <f t="array" ref="BL4">ROUND(INDEX($D$4:$D$33,$AS4)*INDEX($AK$4:$AK$33,BL$3)*$AV$1,0)</f>
        <v>0</v>
      </c>
      <c r="BM4" s="53" cm="1">
        <f t="array" ref="BM4">ROUND(INDEX($D$4:$D$33,$AS4)*INDEX($AK$4:$AK$33,BM$3)*$AV$1,0)</f>
        <v>0</v>
      </c>
      <c r="BN4" s="53" cm="1">
        <f t="array" ref="BN4">ROUND(INDEX($D$4:$D$33,$AS4)*INDEX($AK$4:$AK$33,BN$3)*$AV$1,0)</f>
        <v>0</v>
      </c>
      <c r="BO4" s="53" cm="1">
        <f t="array" ref="BO4">ROUND(INDEX($D$4:$D$33,$AS4)*INDEX($AK$4:$AK$33,BO$3)*$AV$1,0)</f>
        <v>0</v>
      </c>
      <c r="BP4" s="53" cm="1">
        <f t="array" ref="BP4">ROUND(INDEX($D$4:$D$33,$AS4)*INDEX($AK$4:$AK$33,BP$3)*$AV$1,0)</f>
        <v>0</v>
      </c>
      <c r="BQ4" s="53" cm="1">
        <f t="array" ref="BQ4">ROUND(INDEX($D$4:$D$33,$AS4)*INDEX($AK$4:$AK$33,BQ$3)*$AV$1,0)</f>
        <v>0</v>
      </c>
      <c r="BR4" s="53" cm="1">
        <f t="array" ref="BR4">ROUND(INDEX($D$4:$D$33,$AS4)*INDEX($AK$4:$AK$33,BR$3)*$AV$1,0)</f>
        <v>0</v>
      </c>
      <c r="BS4" s="53" cm="1">
        <f t="array" ref="BS4">ROUND(INDEX($D$4:$D$33,$AS4)*INDEX($AK$4:$AK$33,BS$3)*$AV$1,0)</f>
        <v>0</v>
      </c>
      <c r="BT4" s="53" cm="1">
        <f t="array" ref="BT4">ROUND(INDEX($D$4:$D$33,$AS4)*INDEX($AK$4:$AK$33,BT$3)*$AV$1,0)</f>
        <v>0</v>
      </c>
      <c r="BU4" s="53" cm="1">
        <f t="array" ref="BU4">ROUND(INDEX($D$4:$D$33,$AS4)*INDEX($AK$4:$AK$33,BU$3)*$AV$1,0)</f>
        <v>0</v>
      </c>
      <c r="BV4" s="53" cm="1">
        <f t="array" ref="BV4">ROUND(INDEX($D$4:$D$33,$AS4)*INDEX($AK$4:$AK$33,BV$3)*$AV$1,0)</f>
        <v>0</v>
      </c>
      <c r="BW4" s="53" cm="1">
        <f t="array" ref="BW4">ROUND(INDEX($D$4:$D$33,$AS4)*INDEX($AK$4:$AK$33,BW$3)*$AV$1,0)</f>
        <v>0</v>
      </c>
      <c r="BX4" s="38">
        <f t="shared" ref="BX4:BX33" si="3">SUM(AT4:BW4)</f>
        <v>0</v>
      </c>
      <c r="BZ4">
        <f>AT34+BX4</f>
        <v>0</v>
      </c>
      <c r="CA4" s="39">
        <v>1</v>
      </c>
      <c r="CD4">
        <v>2.1480472749501801E-2</v>
      </c>
      <c r="CN4" s="2"/>
    </row>
    <row r="5" spans="1:122" x14ac:dyDescent="0.25">
      <c r="A5" s="1"/>
      <c r="B5" s="10">
        <v>2</v>
      </c>
      <c r="C5" s="4">
        <v>-0.65676580785431204</v>
      </c>
      <c r="D5" s="45">
        <v>0</v>
      </c>
      <c r="E5" s="1"/>
      <c r="F5" s="13">
        <v>1.6365299839493099</v>
      </c>
      <c r="G5" s="13">
        <v>0</v>
      </c>
      <c r="H5" s="5">
        <v>-0.82264505402077803</v>
      </c>
      <c r="I5" s="5">
        <v>0.28425622597655298</v>
      </c>
      <c r="J5" s="5">
        <v>0.11543158508142599</v>
      </c>
      <c r="K5" s="5">
        <v>0.29080761148566098</v>
      </c>
      <c r="L5" s="5">
        <v>0.87348694870903398</v>
      </c>
      <c r="M5" s="5">
        <v>0.86840686751216201</v>
      </c>
      <c r="N5" s="5">
        <v>-0.74805022331696003</v>
      </c>
      <c r="O5" s="5">
        <v>-0.53243155290007504</v>
      </c>
      <c r="P5" s="5">
        <v>0.55826105369667101</v>
      </c>
      <c r="Q5" s="5">
        <v>0.25207588096982297</v>
      </c>
      <c r="R5" s="5">
        <v>-0.76817790759372895</v>
      </c>
      <c r="S5" s="5">
        <v>-0.56065515351138095</v>
      </c>
      <c r="T5" s="5">
        <v>0.23868079185138599</v>
      </c>
      <c r="U5" s="5">
        <v>-0.51998536791433203</v>
      </c>
      <c r="V5" s="5">
        <v>0.82943828868754499</v>
      </c>
      <c r="W5" s="5">
        <v>0.74021598554684498</v>
      </c>
      <c r="X5" s="5">
        <v>-0.76137589916465598</v>
      </c>
      <c r="Y5" s="5">
        <v>0.65205850657589703</v>
      </c>
      <c r="Z5" s="5">
        <v>-1.2483209207069501</v>
      </c>
      <c r="AA5" s="5">
        <v>0.72726529968932996</v>
      </c>
      <c r="AB5" s="5">
        <v>0.240173956648113</v>
      </c>
      <c r="AC5" s="5">
        <v>1.43037744714909</v>
      </c>
      <c r="AD5" s="5">
        <v>0.73773059316831002</v>
      </c>
      <c r="AE5" s="5">
        <v>-1.18371381814941</v>
      </c>
      <c r="AF5" s="5">
        <v>1.3568087572805801E-2</v>
      </c>
      <c r="AG5" s="5">
        <v>0.58846490525570305</v>
      </c>
      <c r="AH5" s="5">
        <v>-0.29981922229539698</v>
      </c>
      <c r="AI5" s="5">
        <v>-1.4152707502880999</v>
      </c>
      <c r="AJ5" s="1"/>
      <c r="AK5" s="26">
        <v>0</v>
      </c>
      <c r="AL5" s="15">
        <f t="shared" si="0"/>
        <v>0</v>
      </c>
      <c r="AM5" s="37">
        <f t="shared" si="1"/>
        <v>0</v>
      </c>
      <c r="AN5" s="1"/>
      <c r="AO5" s="48">
        <v>0.2</v>
      </c>
      <c r="AP5" s="48">
        <v>0.2</v>
      </c>
      <c r="AQ5" s="47">
        <f t="shared" si="2"/>
        <v>0</v>
      </c>
      <c r="AR5" s="36"/>
      <c r="AS5" s="40">
        <v>2</v>
      </c>
      <c r="AT5" s="53" cm="1">
        <f t="array" ref="AT5">ROUND(INDEX($D$4:$D$33,$AS5)*INDEX($AK$4:$AK$33,AT$3)*$AV$1,0)</f>
        <v>0</v>
      </c>
      <c r="AU5" s="52" cm="1">
        <f t="array" ref="AU5">ROUND(INDEX($D$4:$D$33,$AS5)*INDEX($AK$4:$AK$33,AU$3)*$AV$1,0)</f>
        <v>0</v>
      </c>
      <c r="AV5" s="53" cm="1">
        <f t="array" ref="AV5">ROUND(INDEX($D$4:$D$33,$AS5)*INDEX($AK$4:$AK$33,AV$3)*$AV$1,0)</f>
        <v>0</v>
      </c>
      <c r="AW5" s="53" cm="1">
        <f t="array" ref="AW5">ROUND(INDEX($D$4:$D$33,$AS5)*INDEX($AK$4:$AK$33,AW$3)*$AV$1,0)</f>
        <v>0</v>
      </c>
      <c r="AX5" s="53" cm="1">
        <f t="array" ref="AX5">ROUND(INDEX($D$4:$D$33,$AS5)*INDEX($AK$4:$AK$33,AX$3)*$AV$1,0)</f>
        <v>0</v>
      </c>
      <c r="AY5" s="53" cm="1">
        <f t="array" ref="AY5">ROUND(INDEX($D$4:$D$33,$AS5)*INDEX($AK$4:$AK$33,AY$3)*$AV$1,0)</f>
        <v>0</v>
      </c>
      <c r="AZ5" s="53" cm="1">
        <f t="array" ref="AZ5">ROUND(INDEX($D$4:$D$33,$AS5)*INDEX($AK$4:$AK$33,AZ$3)*$AV$1,0)</f>
        <v>0</v>
      </c>
      <c r="BA5" s="53" cm="1">
        <f t="array" ref="BA5">ROUND(INDEX($D$4:$D$33,$AS5)*INDEX($AK$4:$AK$33,BA$3)*$AV$1,0)</f>
        <v>0</v>
      </c>
      <c r="BB5" s="53" cm="1">
        <f t="array" ref="BB5">ROUND(INDEX($D$4:$D$33,$AS5)*INDEX($AK$4:$AK$33,BB$3)*$AV$1,0)</f>
        <v>0</v>
      </c>
      <c r="BC5" s="53" cm="1">
        <f t="array" ref="BC5">ROUND(INDEX($D$4:$D$33,$AS5)*INDEX($AK$4:$AK$33,BC$3)*$AV$1,0)</f>
        <v>0</v>
      </c>
      <c r="BD5" s="53" cm="1">
        <f t="array" ref="BD5">ROUND(INDEX($D$4:$D$33,$AS5)*INDEX($AK$4:$AK$33,BD$3)*$AV$1,0)</f>
        <v>0</v>
      </c>
      <c r="BE5" s="53" cm="1">
        <f t="array" ref="BE5">ROUND(INDEX($D$4:$D$33,$AS5)*INDEX($AK$4:$AK$33,BE$3)*$AV$1,0)</f>
        <v>0</v>
      </c>
      <c r="BF5" s="53" cm="1">
        <f t="array" ref="BF5">ROUND(INDEX($D$4:$D$33,$AS5)*INDEX($AK$4:$AK$33,BF$3)*$AV$1,0)</f>
        <v>0</v>
      </c>
      <c r="BG5" s="53" cm="1">
        <f t="array" ref="BG5">ROUND(INDEX($D$4:$D$33,$AS5)*INDEX($AK$4:$AK$33,BG$3)*$AV$1,0)</f>
        <v>0</v>
      </c>
      <c r="BH5" s="53" cm="1">
        <f t="array" ref="BH5">ROUND(INDEX($D$4:$D$33,$AS5)*INDEX($AK$4:$AK$33,BH$3)*$AV$1,0)</f>
        <v>0</v>
      </c>
      <c r="BI5" s="53" cm="1">
        <f t="array" ref="BI5">ROUND(INDEX($D$4:$D$33,$AS5)*INDEX($AK$4:$AK$33,BI$3)*$AV$1,0)</f>
        <v>0</v>
      </c>
      <c r="BJ5" s="53" cm="1">
        <f t="array" ref="BJ5">ROUND(INDEX($D$4:$D$33,$AS5)*INDEX($AK$4:$AK$33,BJ$3)*$AV$1,0)</f>
        <v>0</v>
      </c>
      <c r="BK5" s="53" cm="1">
        <f t="array" ref="BK5">ROUND(INDEX($D$4:$D$33,$AS5)*INDEX($AK$4:$AK$33,BK$3)*$AV$1,0)</f>
        <v>0</v>
      </c>
      <c r="BL5" s="53" cm="1">
        <f t="array" ref="BL5">ROUND(INDEX($D$4:$D$33,$AS5)*INDEX($AK$4:$AK$33,BL$3)*$AV$1,0)</f>
        <v>0</v>
      </c>
      <c r="BM5" s="53" cm="1">
        <f t="array" ref="BM5">ROUND(INDEX($D$4:$D$33,$AS5)*INDEX($AK$4:$AK$33,BM$3)*$AV$1,0)</f>
        <v>0</v>
      </c>
      <c r="BN5" s="53" cm="1">
        <f t="array" ref="BN5">ROUND(INDEX($D$4:$D$33,$AS5)*INDEX($AK$4:$AK$33,BN$3)*$AV$1,0)</f>
        <v>0</v>
      </c>
      <c r="BO5" s="53" cm="1">
        <f t="array" ref="BO5">ROUND(INDEX($D$4:$D$33,$AS5)*INDEX($AK$4:$AK$33,BO$3)*$AV$1,0)</f>
        <v>0</v>
      </c>
      <c r="BP5" s="53" cm="1">
        <f t="array" ref="BP5">ROUND(INDEX($D$4:$D$33,$AS5)*INDEX($AK$4:$AK$33,BP$3)*$AV$1,0)</f>
        <v>0</v>
      </c>
      <c r="BQ5" s="53" cm="1">
        <f t="array" ref="BQ5">ROUND(INDEX($D$4:$D$33,$AS5)*INDEX($AK$4:$AK$33,BQ$3)*$AV$1,0)</f>
        <v>0</v>
      </c>
      <c r="BR5" s="53" cm="1">
        <f t="array" ref="BR5">ROUND(INDEX($D$4:$D$33,$AS5)*INDEX($AK$4:$AK$33,BR$3)*$AV$1,0)</f>
        <v>0</v>
      </c>
      <c r="BS5" s="53" cm="1">
        <f t="array" ref="BS5">ROUND(INDEX($D$4:$D$33,$AS5)*INDEX($AK$4:$AK$33,BS$3)*$AV$1,0)</f>
        <v>0</v>
      </c>
      <c r="BT5" s="53" cm="1">
        <f t="array" ref="BT5">ROUND(INDEX($D$4:$D$33,$AS5)*INDEX($AK$4:$AK$33,BT$3)*$AV$1,0)</f>
        <v>0</v>
      </c>
      <c r="BU5" s="53" cm="1">
        <f t="array" ref="BU5">ROUND(INDEX($D$4:$D$33,$AS5)*INDEX($AK$4:$AK$33,BU$3)*$AV$1,0)</f>
        <v>0</v>
      </c>
      <c r="BV5" s="53" cm="1">
        <f t="array" ref="BV5">ROUND(INDEX($D$4:$D$33,$AS5)*INDEX($AK$4:$AK$33,BV$3)*$AV$1,0)</f>
        <v>0</v>
      </c>
      <c r="BW5" s="53" cm="1">
        <f t="array" ref="BW5">ROUND(INDEX($D$4:$D$33,$AS5)*INDEX($AK$4:$AK$33,BW$3)*$AV$1,0)</f>
        <v>0</v>
      </c>
      <c r="BX5" s="38">
        <f t="shared" si="3"/>
        <v>0</v>
      </c>
      <c r="BZ5">
        <f>BX5+AU34</f>
        <v>0</v>
      </c>
      <c r="CA5" s="39">
        <v>2</v>
      </c>
      <c r="CD5">
        <v>-0.776893958139101</v>
      </c>
      <c r="CN5" s="2"/>
    </row>
    <row r="6" spans="1:122" x14ac:dyDescent="0.25">
      <c r="A6" s="1"/>
      <c r="B6" s="10">
        <v>3</v>
      </c>
      <c r="C6" s="4">
        <v>1.8797341393162099</v>
      </c>
      <c r="D6" s="45">
        <v>0</v>
      </c>
      <c r="E6" s="1"/>
      <c r="F6" s="13">
        <v>0.14443891944626999</v>
      </c>
      <c r="G6" s="5">
        <v>-0.82264505402077803</v>
      </c>
      <c r="H6" s="13">
        <v>0</v>
      </c>
      <c r="I6" s="5">
        <v>0.38129194601267002</v>
      </c>
      <c r="J6" s="5">
        <v>-0.57605927456688699</v>
      </c>
      <c r="K6" s="5">
        <v>4.9849462687683303E-2</v>
      </c>
      <c r="L6" s="5">
        <v>1.8890548645546701E-3</v>
      </c>
      <c r="M6" s="5">
        <v>-0.37573238534937697</v>
      </c>
      <c r="N6" s="5">
        <v>-0.45493069651093498</v>
      </c>
      <c r="O6" s="5">
        <v>-0.73053561368001896</v>
      </c>
      <c r="P6" s="5">
        <v>-0.99248249543529199</v>
      </c>
      <c r="Q6" s="5">
        <v>-0.60121156298853395</v>
      </c>
      <c r="R6" s="5">
        <v>0.210358878174745</v>
      </c>
      <c r="S6" s="5">
        <v>0.65818775705870902</v>
      </c>
      <c r="T6" s="5">
        <v>0.75447710896230202</v>
      </c>
      <c r="U6" s="5">
        <v>-0.95923461186473602</v>
      </c>
      <c r="V6" s="5">
        <v>-0.133686537214321</v>
      </c>
      <c r="W6" s="5">
        <v>0.47815306106753502</v>
      </c>
      <c r="X6" s="5">
        <v>0.84495080921130705</v>
      </c>
      <c r="Y6" s="5">
        <v>1.0921517707169399</v>
      </c>
      <c r="Z6" s="5">
        <v>-0.68134527140788304</v>
      </c>
      <c r="AA6" s="5">
        <v>-0.16950786483098801</v>
      </c>
      <c r="AB6" s="5">
        <v>-0.475760604848394</v>
      </c>
      <c r="AC6" s="5">
        <v>0.390532211778785</v>
      </c>
      <c r="AD6" s="5">
        <v>0.59821355644711105</v>
      </c>
      <c r="AE6" s="5">
        <v>-0.48622794391304303</v>
      </c>
      <c r="AF6" s="5">
        <v>-0.608131166551236</v>
      </c>
      <c r="AG6" s="5">
        <v>0.670401649141806</v>
      </c>
      <c r="AH6" s="5">
        <v>0.54959304235560902</v>
      </c>
      <c r="AI6" s="5">
        <v>0.59078558875562803</v>
      </c>
      <c r="AJ6" s="1"/>
      <c r="AK6" s="26">
        <v>0</v>
      </c>
      <c r="AL6" s="15">
        <f t="shared" si="0"/>
        <v>0</v>
      </c>
      <c r="AM6" s="37">
        <f t="shared" si="1"/>
        <v>0</v>
      </c>
      <c r="AN6" s="1"/>
      <c r="AO6" s="48">
        <v>0</v>
      </c>
      <c r="AP6" s="48">
        <v>0.2</v>
      </c>
      <c r="AQ6" s="47">
        <f t="shared" si="2"/>
        <v>0</v>
      </c>
      <c r="AR6" s="36"/>
      <c r="AS6" s="40">
        <v>3</v>
      </c>
      <c r="AT6" s="53" cm="1">
        <f t="array" ref="AT6">ROUND(INDEX($D$4:$D$33,$AS6)*INDEX($AK$4:$AK$33,AT$3)*$AV$1,0)</f>
        <v>0</v>
      </c>
      <c r="AU6" s="53" cm="1">
        <f t="array" ref="AU6">ROUND(INDEX($D$4:$D$33,$AS6)*INDEX($AK$4:$AK$33,AU$3)*$AV$1,0)</f>
        <v>0</v>
      </c>
      <c r="AV6" s="52" cm="1">
        <f t="array" ref="AV6">ROUND(INDEX($D$4:$D$33,$AS6)*INDEX($AK$4:$AK$33,AV$3)*$AV$1,0)</f>
        <v>0</v>
      </c>
      <c r="AW6" s="53" cm="1">
        <f t="array" ref="AW6">ROUND(INDEX($D$4:$D$33,$AS6)*INDEX($AK$4:$AK$33,AW$3)*$AV$1,0)</f>
        <v>0</v>
      </c>
      <c r="AX6" s="53" cm="1">
        <f t="array" ref="AX6">ROUND(INDEX($D$4:$D$33,$AS6)*INDEX($AK$4:$AK$33,AX$3)*$AV$1,0)</f>
        <v>0</v>
      </c>
      <c r="AY6" s="53" cm="1">
        <f t="array" ref="AY6">ROUND(INDEX($D$4:$D$33,$AS6)*INDEX($AK$4:$AK$33,AY$3)*$AV$1,0)</f>
        <v>0</v>
      </c>
      <c r="AZ6" s="53" cm="1">
        <f t="array" ref="AZ6">ROUND(INDEX($D$4:$D$33,$AS6)*INDEX($AK$4:$AK$33,AZ$3)*$AV$1,0)</f>
        <v>0</v>
      </c>
      <c r="BA6" s="53" cm="1">
        <f t="array" ref="BA6">ROUND(INDEX($D$4:$D$33,$AS6)*INDEX($AK$4:$AK$33,BA$3)*$AV$1,0)</f>
        <v>0</v>
      </c>
      <c r="BB6" s="53" cm="1">
        <f t="array" ref="BB6">ROUND(INDEX($D$4:$D$33,$AS6)*INDEX($AK$4:$AK$33,BB$3)*$AV$1,0)</f>
        <v>0</v>
      </c>
      <c r="BC6" s="53" cm="1">
        <f t="array" ref="BC6">ROUND(INDEX($D$4:$D$33,$AS6)*INDEX($AK$4:$AK$33,BC$3)*$AV$1,0)</f>
        <v>0</v>
      </c>
      <c r="BD6" s="53" cm="1">
        <f t="array" ref="BD6">ROUND(INDEX($D$4:$D$33,$AS6)*INDEX($AK$4:$AK$33,BD$3)*$AV$1,0)</f>
        <v>0</v>
      </c>
      <c r="BE6" s="53" cm="1">
        <f t="array" ref="BE6">ROUND(INDEX($D$4:$D$33,$AS6)*INDEX($AK$4:$AK$33,BE$3)*$AV$1,0)</f>
        <v>0</v>
      </c>
      <c r="BF6" s="53" cm="1">
        <f t="array" ref="BF6">ROUND(INDEX($D$4:$D$33,$AS6)*INDEX($AK$4:$AK$33,BF$3)*$AV$1,0)</f>
        <v>0</v>
      </c>
      <c r="BG6" s="53" cm="1">
        <f t="array" ref="BG6">ROUND(INDEX($D$4:$D$33,$AS6)*INDEX($AK$4:$AK$33,BG$3)*$AV$1,0)</f>
        <v>0</v>
      </c>
      <c r="BH6" s="53" cm="1">
        <f t="array" ref="BH6">ROUND(INDEX($D$4:$D$33,$AS6)*INDEX($AK$4:$AK$33,BH$3)*$AV$1,0)</f>
        <v>0</v>
      </c>
      <c r="BI6" s="53" cm="1">
        <f t="array" ref="BI6">ROUND(INDEX($D$4:$D$33,$AS6)*INDEX($AK$4:$AK$33,BI$3)*$AV$1,0)</f>
        <v>0</v>
      </c>
      <c r="BJ6" s="53" cm="1">
        <f t="array" ref="BJ6">ROUND(INDEX($D$4:$D$33,$AS6)*INDEX($AK$4:$AK$33,BJ$3)*$AV$1,0)</f>
        <v>0</v>
      </c>
      <c r="BK6" s="53" cm="1">
        <f t="array" ref="BK6">ROUND(INDEX($D$4:$D$33,$AS6)*INDEX($AK$4:$AK$33,BK$3)*$AV$1,0)</f>
        <v>0</v>
      </c>
      <c r="BL6" s="53" cm="1">
        <f t="array" ref="BL6">ROUND(INDEX($D$4:$D$33,$AS6)*INDEX($AK$4:$AK$33,BL$3)*$AV$1,0)</f>
        <v>0</v>
      </c>
      <c r="BM6" s="53" cm="1">
        <f t="array" ref="BM6">ROUND(INDEX($D$4:$D$33,$AS6)*INDEX($AK$4:$AK$33,BM$3)*$AV$1,0)</f>
        <v>0</v>
      </c>
      <c r="BN6" s="53" cm="1">
        <f t="array" ref="BN6">ROUND(INDEX($D$4:$D$33,$AS6)*INDEX($AK$4:$AK$33,BN$3)*$AV$1,0)</f>
        <v>0</v>
      </c>
      <c r="BO6" s="53" cm="1">
        <f t="array" ref="BO6">ROUND(INDEX($D$4:$D$33,$AS6)*INDEX($AK$4:$AK$33,BO$3)*$AV$1,0)</f>
        <v>0</v>
      </c>
      <c r="BP6" s="53" cm="1">
        <f t="array" ref="BP6">ROUND(INDEX($D$4:$D$33,$AS6)*INDEX($AK$4:$AK$33,BP$3)*$AV$1,0)</f>
        <v>0</v>
      </c>
      <c r="BQ6" s="53" cm="1">
        <f t="array" ref="BQ6">ROUND(INDEX($D$4:$D$33,$AS6)*INDEX($AK$4:$AK$33,BQ$3)*$AV$1,0)</f>
        <v>0</v>
      </c>
      <c r="BR6" s="53" cm="1">
        <f t="array" ref="BR6">ROUND(INDEX($D$4:$D$33,$AS6)*INDEX($AK$4:$AK$33,BR$3)*$AV$1,0)</f>
        <v>0</v>
      </c>
      <c r="BS6" s="53" cm="1">
        <f t="array" ref="BS6">ROUND(INDEX($D$4:$D$33,$AS6)*INDEX($AK$4:$AK$33,BS$3)*$AV$1,0)</f>
        <v>0</v>
      </c>
      <c r="BT6" s="53" cm="1">
        <f t="array" ref="BT6">ROUND(INDEX($D$4:$D$33,$AS6)*INDEX($AK$4:$AK$33,BT$3)*$AV$1,0)</f>
        <v>0</v>
      </c>
      <c r="BU6" s="53" cm="1">
        <f t="array" ref="BU6">ROUND(INDEX($D$4:$D$33,$AS6)*INDEX($AK$4:$AK$33,BU$3)*$AV$1,0)</f>
        <v>0</v>
      </c>
      <c r="BV6" s="53" cm="1">
        <f t="array" ref="BV6">ROUND(INDEX($D$4:$D$33,$AS6)*INDEX($AK$4:$AK$33,BV$3)*$AV$1,0)</f>
        <v>0</v>
      </c>
      <c r="BW6" s="53" cm="1">
        <f t="array" ref="BW6">ROUND(INDEX($D$4:$D$33,$AS6)*INDEX($AK$4:$AK$33,BW$3)*$AV$1,0)</f>
        <v>0</v>
      </c>
      <c r="BX6" s="38">
        <f t="shared" si="3"/>
        <v>0</v>
      </c>
      <c r="BZ6">
        <f>BX6+AV34</f>
        <v>0</v>
      </c>
      <c r="CA6" s="39">
        <v>3</v>
      </c>
      <c r="CD6">
        <v>0.84872050089753504</v>
      </c>
      <c r="CN6" s="2"/>
    </row>
    <row r="7" spans="1:122" x14ac:dyDescent="0.25">
      <c r="A7" s="1"/>
      <c r="B7" s="10">
        <v>4</v>
      </c>
      <c r="C7" s="4">
        <v>-0.89608087690278204</v>
      </c>
      <c r="D7" s="45">
        <v>1.5939243519052002E-2</v>
      </c>
      <c r="E7" s="1"/>
      <c r="F7" s="13">
        <v>-0.130353885302981</v>
      </c>
      <c r="G7" s="5">
        <v>0.28425622597655298</v>
      </c>
      <c r="H7" s="5">
        <v>0.38129194601267002</v>
      </c>
      <c r="I7" s="13">
        <v>0</v>
      </c>
      <c r="J7" s="5">
        <v>0.28546614128758502</v>
      </c>
      <c r="K7" s="5">
        <v>-1.3668562197073999</v>
      </c>
      <c r="L7" s="5">
        <v>-0.32494158170086901</v>
      </c>
      <c r="M7" s="5">
        <v>-0.20230664459521899</v>
      </c>
      <c r="N7" s="5">
        <v>0.18274523517077301</v>
      </c>
      <c r="O7" s="5">
        <v>0.82295810863496299</v>
      </c>
      <c r="P7" s="5">
        <v>1.0904336470289999</v>
      </c>
      <c r="Q7" s="5">
        <v>-0.211814570997991</v>
      </c>
      <c r="R7" s="5">
        <v>-0.101334239327442</v>
      </c>
      <c r="S7" s="5">
        <v>-0.95486874855735104</v>
      </c>
      <c r="T7" s="5">
        <v>0.23542520620884799</v>
      </c>
      <c r="U7" s="5">
        <v>0.51518780315552404</v>
      </c>
      <c r="V7" s="5">
        <v>6.1216103023294798E-2</v>
      </c>
      <c r="W7" s="5">
        <v>0.38650075515003002</v>
      </c>
      <c r="X7" s="5">
        <v>-0.207852947118042</v>
      </c>
      <c r="Y7" s="5">
        <v>-0.71386832252584298</v>
      </c>
      <c r="Z7" s="5">
        <v>-0.45653121574667499</v>
      </c>
      <c r="AA7" s="5">
        <v>-0.31934552091156598</v>
      </c>
      <c r="AB7" s="5">
        <v>-0.37972601838554698</v>
      </c>
      <c r="AC7" s="5">
        <v>1.28703503915816</v>
      </c>
      <c r="AD7" s="5">
        <v>-0.35039700478039398</v>
      </c>
      <c r="AE7" s="5">
        <v>-0.72632977329843995</v>
      </c>
      <c r="AF7" s="5">
        <v>-1.62277063110755E-2</v>
      </c>
      <c r="AG7" s="5">
        <v>-1.3956432240943599</v>
      </c>
      <c r="AH7" s="5">
        <v>-0.50482191604376803</v>
      </c>
      <c r="AI7" s="5">
        <v>-0.24240916301278401</v>
      </c>
      <c r="AJ7" s="1"/>
      <c r="AK7" s="26">
        <v>0</v>
      </c>
      <c r="AL7" s="15">
        <f t="shared" si="0"/>
        <v>-1.4282851309719104E-2</v>
      </c>
      <c r="AM7" s="37">
        <f t="shared" si="1"/>
        <v>0.7969621759526001</v>
      </c>
      <c r="AN7" s="1"/>
      <c r="AO7" s="48">
        <v>0.2</v>
      </c>
      <c r="AP7" s="48">
        <v>0.2</v>
      </c>
      <c r="AQ7" s="47">
        <f t="shared" si="2"/>
        <v>7.9696217595260008E-3</v>
      </c>
      <c r="AR7" s="36"/>
      <c r="AS7" s="40">
        <v>4</v>
      </c>
      <c r="AT7" s="53" cm="1">
        <f t="array" ref="AT7">ROUND(INDEX($D$4:$D$33,$AS7)*INDEX($AK$4:$AK$33,AT$3)*$AV$1,0)</f>
        <v>0</v>
      </c>
      <c r="AU7" s="53" cm="1">
        <f t="array" ref="AU7">ROUND(INDEX($D$4:$D$33,$AS7)*INDEX($AK$4:$AK$33,AU$3)*$AV$1,0)</f>
        <v>0</v>
      </c>
      <c r="AV7" s="53" cm="1">
        <f t="array" ref="AV7">ROUND(INDEX($D$4:$D$33,$AS7)*INDEX($AK$4:$AK$33,AV$3)*$AV$1,0)</f>
        <v>0</v>
      </c>
      <c r="AW7" s="52" cm="1">
        <f t="array" ref="AW7">ROUND(INDEX($D$4:$D$33,$AS7)*INDEX($AK$4:$AK$33,AW$3)*$AV$1,0)</f>
        <v>0</v>
      </c>
      <c r="AX7" s="53" cm="1">
        <f t="array" ref="AX7">ROUND(INDEX($D$4:$D$33,$AS7)*INDEX($AK$4:$AK$33,AX$3)*$AV$1,0)</f>
        <v>0</v>
      </c>
      <c r="AY7" s="53" cm="1">
        <f t="array" ref="AY7">ROUND(INDEX($D$4:$D$33,$AS7)*INDEX($AK$4:$AK$33,AY$3)*$AV$1,0)</f>
        <v>0</v>
      </c>
      <c r="AZ7" s="53" cm="1">
        <f t="array" ref="AZ7">ROUND(INDEX($D$4:$D$33,$AS7)*INDEX($AK$4:$AK$33,AZ$3)*$AV$1,0)</f>
        <v>0</v>
      </c>
      <c r="BA7" s="53" cm="1">
        <f t="array" ref="BA7">ROUND(INDEX($D$4:$D$33,$AS7)*INDEX($AK$4:$AK$33,BA$3)*$AV$1,0)</f>
        <v>0</v>
      </c>
      <c r="BB7" s="53" cm="1">
        <f t="array" ref="BB7">ROUND(INDEX($D$4:$D$33,$AS7)*INDEX($AK$4:$AK$33,BB$3)*$AV$1,0)</f>
        <v>7</v>
      </c>
      <c r="BC7" s="53" cm="1">
        <f t="array" ref="BC7">ROUND(INDEX($D$4:$D$33,$AS7)*INDEX($AK$4:$AK$33,BC$3)*$AV$1,0)</f>
        <v>0</v>
      </c>
      <c r="BD7" s="53" cm="1">
        <f t="array" ref="BD7">ROUND(INDEX($D$4:$D$33,$AS7)*INDEX($AK$4:$AK$33,BD$3)*$AV$1,0)</f>
        <v>15</v>
      </c>
      <c r="BE7" s="53" cm="1">
        <f t="array" ref="BE7">ROUND(INDEX($D$4:$D$33,$AS7)*INDEX($AK$4:$AK$33,BE$3)*$AV$1,0)</f>
        <v>5</v>
      </c>
      <c r="BF7" s="53" cm="1">
        <f t="array" ref="BF7">ROUND(INDEX($D$4:$D$33,$AS7)*INDEX($AK$4:$AK$33,BF$3)*$AV$1,0)</f>
        <v>0</v>
      </c>
      <c r="BG7" s="53" cm="1">
        <f t="array" ref="BG7">ROUND(INDEX($D$4:$D$33,$AS7)*INDEX($AK$4:$AK$33,BG$3)*$AV$1,0)</f>
        <v>0</v>
      </c>
      <c r="BH7" s="53" cm="1">
        <f t="array" ref="BH7">ROUND(INDEX($D$4:$D$33,$AS7)*INDEX($AK$4:$AK$33,BH$3)*$AV$1,0)</f>
        <v>16</v>
      </c>
      <c r="BI7" s="53" cm="1">
        <f t="array" ref="BI7">ROUND(INDEX($D$4:$D$33,$AS7)*INDEX($AK$4:$AK$33,BI$3)*$AV$1,0)</f>
        <v>0</v>
      </c>
      <c r="BJ7" s="53" cm="1">
        <f t="array" ref="BJ7">ROUND(INDEX($D$4:$D$33,$AS7)*INDEX($AK$4:$AK$33,BJ$3)*$AV$1,0)</f>
        <v>2</v>
      </c>
      <c r="BK7" s="53" cm="1">
        <f t="array" ref="BK7">ROUND(INDEX($D$4:$D$33,$AS7)*INDEX($AK$4:$AK$33,BK$3)*$AV$1,0)</f>
        <v>0</v>
      </c>
      <c r="BL7" s="53" cm="1">
        <f t="array" ref="BL7">ROUND(INDEX($D$4:$D$33,$AS7)*INDEX($AK$4:$AK$33,BL$3)*$AV$1,0)</f>
        <v>0</v>
      </c>
      <c r="BM7" s="53" cm="1">
        <f t="array" ref="BM7">ROUND(INDEX($D$4:$D$33,$AS7)*INDEX($AK$4:$AK$33,BM$3)*$AV$1,0)</f>
        <v>0</v>
      </c>
      <c r="BN7" s="53" cm="1">
        <f t="array" ref="BN7">ROUND(INDEX($D$4:$D$33,$AS7)*INDEX($AK$4:$AK$33,BN$3)*$AV$1,0)</f>
        <v>0</v>
      </c>
      <c r="BO7" s="53" cm="1">
        <f t="array" ref="BO7">ROUND(INDEX($D$4:$D$33,$AS7)*INDEX($AK$4:$AK$33,BO$3)*$AV$1,0)</f>
        <v>0</v>
      </c>
      <c r="BP7" s="53" cm="1">
        <f t="array" ref="BP7">ROUND(INDEX($D$4:$D$33,$AS7)*INDEX($AK$4:$AK$33,BP$3)*$AV$1,0)</f>
        <v>0</v>
      </c>
      <c r="BQ7" s="53" cm="1">
        <f t="array" ref="BQ7">ROUND(INDEX($D$4:$D$33,$AS7)*INDEX($AK$4:$AK$33,BQ$3)*$AV$1,0)</f>
        <v>1</v>
      </c>
      <c r="BR7" s="53" cm="1">
        <f t="array" ref="BR7">ROUND(INDEX($D$4:$D$33,$AS7)*INDEX($AK$4:$AK$33,BR$3)*$AV$1,0)</f>
        <v>0</v>
      </c>
      <c r="BS7" s="53" cm="1">
        <f t="array" ref="BS7">ROUND(INDEX($D$4:$D$33,$AS7)*INDEX($AK$4:$AK$33,BS$3)*$AV$1,0)</f>
        <v>0</v>
      </c>
      <c r="BT7" s="53" cm="1">
        <f t="array" ref="BT7">ROUND(INDEX($D$4:$D$33,$AS7)*INDEX($AK$4:$AK$33,BT$3)*$AV$1,0)</f>
        <v>7</v>
      </c>
      <c r="BU7" s="53" cm="1">
        <f t="array" ref="BU7">ROUND(INDEX($D$4:$D$33,$AS7)*INDEX($AK$4:$AK$33,BU$3)*$AV$1,0)</f>
        <v>0</v>
      </c>
      <c r="BV7" s="53" cm="1">
        <f t="array" ref="BV7">ROUND(INDEX($D$4:$D$33,$AS7)*INDEX($AK$4:$AK$33,BV$3)*$AV$1,0)</f>
        <v>11</v>
      </c>
      <c r="BW7" s="53" cm="1">
        <f t="array" ref="BW7">ROUND(INDEX($D$4:$D$33,$AS7)*INDEX($AK$4:$AK$33,BW$3)*$AV$1,0)</f>
        <v>16</v>
      </c>
      <c r="BX7" s="38">
        <f t="shared" si="3"/>
        <v>80</v>
      </c>
      <c r="BZ7">
        <f>BX7+AW34</f>
        <v>80</v>
      </c>
      <c r="CA7" s="39">
        <v>4</v>
      </c>
      <c r="CD7">
        <v>-1.4798982060638699</v>
      </c>
      <c r="CN7" s="2"/>
    </row>
    <row r="8" spans="1:122" x14ac:dyDescent="0.25">
      <c r="A8" s="1"/>
      <c r="B8" s="10">
        <v>5</v>
      </c>
      <c r="C8" s="4">
        <v>1.3315057201635701</v>
      </c>
      <c r="D8" s="45">
        <v>0</v>
      </c>
      <c r="E8" s="1"/>
      <c r="F8" s="13">
        <v>0.65183593504495996</v>
      </c>
      <c r="G8" s="5">
        <v>0.11543158508142599</v>
      </c>
      <c r="H8" s="5">
        <v>-0.57605927456688699</v>
      </c>
      <c r="I8" s="5">
        <v>0.28546614128758502</v>
      </c>
      <c r="J8" s="13">
        <v>0</v>
      </c>
      <c r="K8" s="5">
        <v>0.57892388788005</v>
      </c>
      <c r="L8" s="5">
        <v>-1.48717043014467</v>
      </c>
      <c r="M8" s="5">
        <v>-0.16094150204178501</v>
      </c>
      <c r="N8" s="5">
        <v>0.63052308911433397</v>
      </c>
      <c r="O8" s="5">
        <v>-0.41019693122726197</v>
      </c>
      <c r="P8" s="5">
        <v>-1.25504862213548</v>
      </c>
      <c r="Q8" s="5">
        <v>-0.44848148123819398</v>
      </c>
      <c r="R8" s="5">
        <v>0.98425987223348099</v>
      </c>
      <c r="S8" s="5">
        <v>0.56553656234427696</v>
      </c>
      <c r="T8" s="5">
        <v>-5.1960788144622898E-2</v>
      </c>
      <c r="U8" s="5">
        <v>0.42934594206565901</v>
      </c>
      <c r="V8" s="5">
        <v>1.06954150457034</v>
      </c>
      <c r="W8" s="5">
        <v>0.53032207733395098</v>
      </c>
      <c r="X8" s="5">
        <v>-2.69957885563985E-2</v>
      </c>
      <c r="Y8" s="5">
        <v>0.60578288968523197</v>
      </c>
      <c r="Z8" s="5">
        <v>0.31998546060890398</v>
      </c>
      <c r="AA8" s="5">
        <v>-0.692446492583772</v>
      </c>
      <c r="AB8" s="5">
        <v>-0.73550260096486497</v>
      </c>
      <c r="AC8" s="5">
        <v>0.24228623987006401</v>
      </c>
      <c r="AD8" s="5">
        <v>-0.14624220702415699</v>
      </c>
      <c r="AE8" s="5">
        <v>-0.34829074992099102</v>
      </c>
      <c r="AF8" s="5">
        <v>-0.42590262099918602</v>
      </c>
      <c r="AG8" s="5">
        <v>-0.277100054020467</v>
      </c>
      <c r="AH8" s="5">
        <v>1.1205094569346901</v>
      </c>
      <c r="AI8" s="5">
        <v>-0.33797024296862599</v>
      </c>
      <c r="AJ8" s="1"/>
      <c r="AK8" s="26">
        <v>0</v>
      </c>
      <c r="AL8" s="15">
        <f t="shared" si="0"/>
        <v>0</v>
      </c>
      <c r="AM8" s="37">
        <f t="shared" si="1"/>
        <v>0</v>
      </c>
      <c r="AN8" s="1"/>
      <c r="AO8" s="48">
        <v>0.2</v>
      </c>
      <c r="AP8" s="48">
        <v>0.2</v>
      </c>
      <c r="AQ8" s="47">
        <f t="shared" si="2"/>
        <v>0</v>
      </c>
      <c r="AR8" s="36"/>
      <c r="AS8" s="40">
        <v>5</v>
      </c>
      <c r="AT8" s="53" cm="1">
        <f t="array" ref="AT8">ROUND(INDEX($D$4:$D$33,$AS8)*INDEX($AK$4:$AK$33,AT$3)*$AV$1,0)</f>
        <v>0</v>
      </c>
      <c r="AU8" s="53" cm="1">
        <f t="array" ref="AU8">ROUND(INDEX($D$4:$D$33,$AS8)*INDEX($AK$4:$AK$33,AU$3)*$AV$1,0)</f>
        <v>0</v>
      </c>
      <c r="AV8" s="53" cm="1">
        <f t="array" ref="AV8">ROUND(INDEX($D$4:$D$33,$AS8)*INDEX($AK$4:$AK$33,AV$3)*$AV$1,0)</f>
        <v>0</v>
      </c>
      <c r="AW8" s="53" cm="1">
        <f t="array" ref="AW8">ROUND(INDEX($D$4:$D$33,$AS8)*INDEX($AK$4:$AK$33,AW$3)*$AV$1,0)</f>
        <v>0</v>
      </c>
      <c r="AX8" s="52" cm="1">
        <f t="array" ref="AX8">ROUND(INDEX($D$4:$D$33,$AS8)*INDEX($AK$4:$AK$33,AX$3)*$AV$1,0)</f>
        <v>0</v>
      </c>
      <c r="AY8" s="53" cm="1">
        <f t="array" ref="AY8">ROUND(INDEX($D$4:$D$33,$AS8)*INDEX($AK$4:$AK$33,AY$3)*$AV$1,0)</f>
        <v>0</v>
      </c>
      <c r="AZ8" s="53" cm="1">
        <f t="array" ref="AZ8">ROUND(INDEX($D$4:$D$33,$AS8)*INDEX($AK$4:$AK$33,AZ$3)*$AV$1,0)</f>
        <v>0</v>
      </c>
      <c r="BA8" s="53" cm="1">
        <f t="array" ref="BA8">ROUND(INDEX($D$4:$D$33,$AS8)*INDEX($AK$4:$AK$33,BA$3)*$AV$1,0)</f>
        <v>0</v>
      </c>
      <c r="BB8" s="53" cm="1">
        <f t="array" ref="BB8">ROUND(INDEX($D$4:$D$33,$AS8)*INDEX($AK$4:$AK$33,BB$3)*$AV$1,0)</f>
        <v>0</v>
      </c>
      <c r="BC8" s="53" cm="1">
        <f t="array" ref="BC8">ROUND(INDEX($D$4:$D$33,$AS8)*INDEX($AK$4:$AK$33,BC$3)*$AV$1,0)</f>
        <v>0</v>
      </c>
      <c r="BD8" s="53" cm="1">
        <f t="array" ref="BD8">ROUND(INDEX($D$4:$D$33,$AS8)*INDEX($AK$4:$AK$33,BD$3)*$AV$1,0)</f>
        <v>0</v>
      </c>
      <c r="BE8" s="53" cm="1">
        <f t="array" ref="BE8">ROUND(INDEX($D$4:$D$33,$AS8)*INDEX($AK$4:$AK$33,BE$3)*$AV$1,0)</f>
        <v>0</v>
      </c>
      <c r="BF8" s="53" cm="1">
        <f t="array" ref="BF8">ROUND(INDEX($D$4:$D$33,$AS8)*INDEX($AK$4:$AK$33,BF$3)*$AV$1,0)</f>
        <v>0</v>
      </c>
      <c r="BG8" s="53" cm="1">
        <f t="array" ref="BG8">ROUND(INDEX($D$4:$D$33,$AS8)*INDEX($AK$4:$AK$33,BG$3)*$AV$1,0)</f>
        <v>0</v>
      </c>
      <c r="BH8" s="53" cm="1">
        <f t="array" ref="BH8">ROUND(INDEX($D$4:$D$33,$AS8)*INDEX($AK$4:$AK$33,BH$3)*$AV$1,0)</f>
        <v>0</v>
      </c>
      <c r="BI8" s="53" cm="1">
        <f t="array" ref="BI8">ROUND(INDEX($D$4:$D$33,$AS8)*INDEX($AK$4:$AK$33,BI$3)*$AV$1,0)</f>
        <v>0</v>
      </c>
      <c r="BJ8" s="53" cm="1">
        <f t="array" ref="BJ8">ROUND(INDEX($D$4:$D$33,$AS8)*INDEX($AK$4:$AK$33,BJ$3)*$AV$1,0)</f>
        <v>0</v>
      </c>
      <c r="BK8" s="53" cm="1">
        <f t="array" ref="BK8">ROUND(INDEX($D$4:$D$33,$AS8)*INDEX($AK$4:$AK$33,BK$3)*$AV$1,0)</f>
        <v>0</v>
      </c>
      <c r="BL8" s="53" cm="1">
        <f t="array" ref="BL8">ROUND(INDEX($D$4:$D$33,$AS8)*INDEX($AK$4:$AK$33,BL$3)*$AV$1,0)</f>
        <v>0</v>
      </c>
      <c r="BM8" s="53" cm="1">
        <f t="array" ref="BM8">ROUND(INDEX($D$4:$D$33,$AS8)*INDEX($AK$4:$AK$33,BM$3)*$AV$1,0)</f>
        <v>0</v>
      </c>
      <c r="BN8" s="53" cm="1">
        <f t="array" ref="BN8">ROUND(INDEX($D$4:$D$33,$AS8)*INDEX($AK$4:$AK$33,BN$3)*$AV$1,0)</f>
        <v>0</v>
      </c>
      <c r="BO8" s="53" cm="1">
        <f t="array" ref="BO8">ROUND(INDEX($D$4:$D$33,$AS8)*INDEX($AK$4:$AK$33,BO$3)*$AV$1,0)</f>
        <v>0</v>
      </c>
      <c r="BP8" s="53" cm="1">
        <f t="array" ref="BP8">ROUND(INDEX($D$4:$D$33,$AS8)*INDEX($AK$4:$AK$33,BP$3)*$AV$1,0)</f>
        <v>0</v>
      </c>
      <c r="BQ8" s="53" cm="1">
        <f t="array" ref="BQ8">ROUND(INDEX($D$4:$D$33,$AS8)*INDEX($AK$4:$AK$33,BQ$3)*$AV$1,0)</f>
        <v>0</v>
      </c>
      <c r="BR8" s="53" cm="1">
        <f t="array" ref="BR8">ROUND(INDEX($D$4:$D$33,$AS8)*INDEX($AK$4:$AK$33,BR$3)*$AV$1,0)</f>
        <v>0</v>
      </c>
      <c r="BS8" s="53" cm="1">
        <f t="array" ref="BS8">ROUND(INDEX($D$4:$D$33,$AS8)*INDEX($AK$4:$AK$33,BS$3)*$AV$1,0)</f>
        <v>0</v>
      </c>
      <c r="BT8" s="53" cm="1">
        <f t="array" ref="BT8">ROUND(INDEX($D$4:$D$33,$AS8)*INDEX($AK$4:$AK$33,BT$3)*$AV$1,0)</f>
        <v>0</v>
      </c>
      <c r="BU8" s="53" cm="1">
        <f t="array" ref="BU8">ROUND(INDEX($D$4:$D$33,$AS8)*INDEX($AK$4:$AK$33,BU$3)*$AV$1,0)</f>
        <v>0</v>
      </c>
      <c r="BV8" s="53" cm="1">
        <f t="array" ref="BV8">ROUND(INDEX($D$4:$D$33,$AS8)*INDEX($AK$4:$AK$33,BV$3)*$AV$1,0)</f>
        <v>0</v>
      </c>
      <c r="BW8" s="53" cm="1">
        <f t="array" ref="BW8">ROUND(INDEX($D$4:$D$33,$AS8)*INDEX($AK$4:$AK$33,BW$3)*$AV$1,0)</f>
        <v>0</v>
      </c>
      <c r="BX8" s="38">
        <f t="shared" si="3"/>
        <v>0</v>
      </c>
      <c r="BZ8">
        <f>BX8+AX34</f>
        <v>0</v>
      </c>
      <c r="CA8" s="39">
        <v>5</v>
      </c>
      <c r="CD8">
        <v>0.150842686937322</v>
      </c>
      <c r="CN8" s="2"/>
    </row>
    <row r="9" spans="1:122" x14ac:dyDescent="0.25">
      <c r="A9" s="1"/>
      <c r="B9" s="10">
        <v>6</v>
      </c>
      <c r="C9" s="4">
        <v>-0.62457313097452405</v>
      </c>
      <c r="D9" s="45">
        <v>0</v>
      </c>
      <c r="E9" s="1"/>
      <c r="F9" s="13">
        <v>0.107158130483926</v>
      </c>
      <c r="G9" s="5">
        <v>0.29080761148566098</v>
      </c>
      <c r="H9" s="5">
        <v>4.9849462687683303E-2</v>
      </c>
      <c r="I9" s="5">
        <v>-1.3668562197073999</v>
      </c>
      <c r="J9" s="5">
        <v>0.57892388788005</v>
      </c>
      <c r="K9" s="13">
        <v>0</v>
      </c>
      <c r="L9" s="5">
        <v>0.264402559071929</v>
      </c>
      <c r="M9" s="5">
        <v>0.47695990657556298</v>
      </c>
      <c r="N9" s="5">
        <v>-0.59158137990241</v>
      </c>
      <c r="O9" s="5">
        <v>0.29507734825624499</v>
      </c>
      <c r="P9" s="5">
        <v>0.145421132931463</v>
      </c>
      <c r="Q9" s="5">
        <v>1.1486789592064599</v>
      </c>
      <c r="R9" s="5">
        <v>0.21690314779181899</v>
      </c>
      <c r="S9" s="5">
        <v>0.42400768695504598</v>
      </c>
      <c r="T9" s="5">
        <v>0.74087596162793001</v>
      </c>
      <c r="U9" s="5">
        <v>-0.58568621242403995</v>
      </c>
      <c r="V9" s="5">
        <v>1.26803388674307</v>
      </c>
      <c r="W9" s="5">
        <v>-0.51607408895264995</v>
      </c>
      <c r="X9" s="5">
        <v>0.65332039723378499</v>
      </c>
      <c r="Y9" s="5">
        <v>0.23001231850234799</v>
      </c>
      <c r="Z9" s="5">
        <v>0.43451585971442103</v>
      </c>
      <c r="AA9" s="5">
        <v>-0.80146826210301103</v>
      </c>
      <c r="AB9" s="5">
        <v>0.70518650879253897</v>
      </c>
      <c r="AC9" s="5">
        <v>0.12696914452868599</v>
      </c>
      <c r="AD9" s="5">
        <v>-0.110164523394577</v>
      </c>
      <c r="AE9" s="5">
        <v>0.245230511833954</v>
      </c>
      <c r="AF9" s="5">
        <v>0.61511345235090997</v>
      </c>
      <c r="AG9" s="5">
        <v>-0.478507096767608</v>
      </c>
      <c r="AH9" s="5">
        <v>-0.628130959299391</v>
      </c>
      <c r="AI9" s="5">
        <v>-0.62868963814024803</v>
      </c>
      <c r="AJ9" s="1"/>
      <c r="AK9" s="26">
        <v>0</v>
      </c>
      <c r="AL9" s="15">
        <f t="shared" si="0"/>
        <v>0</v>
      </c>
      <c r="AM9" s="37">
        <f t="shared" si="1"/>
        <v>0</v>
      </c>
      <c r="AN9" s="1"/>
      <c r="AO9" s="48">
        <v>0.2</v>
      </c>
      <c r="AP9" s="48">
        <v>0.2</v>
      </c>
      <c r="AQ9" s="47">
        <f t="shared" si="2"/>
        <v>0</v>
      </c>
      <c r="AR9" s="36"/>
      <c r="AS9" s="40">
        <v>6</v>
      </c>
      <c r="AT9" s="53" cm="1">
        <f t="array" ref="AT9">ROUND(INDEX($D$4:$D$33,$AS9)*INDEX($AK$4:$AK$33,AT$3)*$AV$1,0)</f>
        <v>0</v>
      </c>
      <c r="AU9" s="53" cm="1">
        <f t="array" ref="AU9">ROUND(INDEX($D$4:$D$33,$AS9)*INDEX($AK$4:$AK$33,AU$3)*$AV$1,0)</f>
        <v>0</v>
      </c>
      <c r="AV9" s="53" cm="1">
        <f t="array" ref="AV9">ROUND(INDEX($D$4:$D$33,$AS9)*INDEX($AK$4:$AK$33,AV$3)*$AV$1,0)</f>
        <v>0</v>
      </c>
      <c r="AW9" s="53" cm="1">
        <f t="array" ref="AW9">ROUND(INDEX($D$4:$D$33,$AS9)*INDEX($AK$4:$AK$33,AW$3)*$AV$1,0)</f>
        <v>0</v>
      </c>
      <c r="AX9" s="53" cm="1">
        <f t="array" ref="AX9">ROUND(INDEX($D$4:$D$33,$AS9)*INDEX($AK$4:$AK$33,AX$3)*$AV$1,0)</f>
        <v>0</v>
      </c>
      <c r="AY9" s="52" cm="1">
        <f t="array" ref="AY9">ROUND(INDEX($D$4:$D$33,$AS9)*INDEX($AK$4:$AK$33,AY$3)*$AV$1,0)</f>
        <v>0</v>
      </c>
      <c r="AZ9" s="53" cm="1">
        <f t="array" ref="AZ9">ROUND(INDEX($D$4:$D$33,$AS9)*INDEX($AK$4:$AK$33,AZ$3)*$AV$1,0)</f>
        <v>0</v>
      </c>
      <c r="BA9" s="53" cm="1">
        <f t="array" ref="BA9">ROUND(INDEX($D$4:$D$33,$AS9)*INDEX($AK$4:$AK$33,BA$3)*$AV$1,0)</f>
        <v>0</v>
      </c>
      <c r="BB9" s="53" cm="1">
        <f t="array" ref="BB9">ROUND(INDEX($D$4:$D$33,$AS9)*INDEX($AK$4:$AK$33,BB$3)*$AV$1,0)</f>
        <v>0</v>
      </c>
      <c r="BC9" s="53" cm="1">
        <f t="array" ref="BC9">ROUND(INDEX($D$4:$D$33,$AS9)*INDEX($AK$4:$AK$33,BC$3)*$AV$1,0)</f>
        <v>0</v>
      </c>
      <c r="BD9" s="53" cm="1">
        <f t="array" ref="BD9">ROUND(INDEX($D$4:$D$33,$AS9)*INDEX($AK$4:$AK$33,BD$3)*$AV$1,0)</f>
        <v>0</v>
      </c>
      <c r="BE9" s="53" cm="1">
        <f t="array" ref="BE9">ROUND(INDEX($D$4:$D$33,$AS9)*INDEX($AK$4:$AK$33,BE$3)*$AV$1,0)</f>
        <v>0</v>
      </c>
      <c r="BF9" s="53" cm="1">
        <f t="array" ref="BF9">ROUND(INDEX($D$4:$D$33,$AS9)*INDEX($AK$4:$AK$33,BF$3)*$AV$1,0)</f>
        <v>0</v>
      </c>
      <c r="BG9" s="53" cm="1">
        <f t="array" ref="BG9">ROUND(INDEX($D$4:$D$33,$AS9)*INDEX($AK$4:$AK$33,BG$3)*$AV$1,0)</f>
        <v>0</v>
      </c>
      <c r="BH9" s="53" cm="1">
        <f t="array" ref="BH9">ROUND(INDEX($D$4:$D$33,$AS9)*INDEX($AK$4:$AK$33,BH$3)*$AV$1,0)</f>
        <v>0</v>
      </c>
      <c r="BI9" s="53" cm="1">
        <f t="array" ref="BI9">ROUND(INDEX($D$4:$D$33,$AS9)*INDEX($AK$4:$AK$33,BI$3)*$AV$1,0)</f>
        <v>0</v>
      </c>
      <c r="BJ9" s="53" cm="1">
        <f t="array" ref="BJ9">ROUND(INDEX($D$4:$D$33,$AS9)*INDEX($AK$4:$AK$33,BJ$3)*$AV$1,0)</f>
        <v>0</v>
      </c>
      <c r="BK9" s="53" cm="1">
        <f t="array" ref="BK9">ROUND(INDEX($D$4:$D$33,$AS9)*INDEX($AK$4:$AK$33,BK$3)*$AV$1,0)</f>
        <v>0</v>
      </c>
      <c r="BL9" s="53" cm="1">
        <f t="array" ref="BL9">ROUND(INDEX($D$4:$D$33,$AS9)*INDEX($AK$4:$AK$33,BL$3)*$AV$1,0)</f>
        <v>0</v>
      </c>
      <c r="BM9" s="53" cm="1">
        <f t="array" ref="BM9">ROUND(INDEX($D$4:$D$33,$AS9)*INDEX($AK$4:$AK$33,BM$3)*$AV$1,0)</f>
        <v>0</v>
      </c>
      <c r="BN9" s="53" cm="1">
        <f t="array" ref="BN9">ROUND(INDEX($D$4:$D$33,$AS9)*INDEX($AK$4:$AK$33,BN$3)*$AV$1,0)</f>
        <v>0</v>
      </c>
      <c r="BO9" s="53" cm="1">
        <f t="array" ref="BO9">ROUND(INDEX($D$4:$D$33,$AS9)*INDEX($AK$4:$AK$33,BO$3)*$AV$1,0)</f>
        <v>0</v>
      </c>
      <c r="BP9" s="53" cm="1">
        <f t="array" ref="BP9">ROUND(INDEX($D$4:$D$33,$AS9)*INDEX($AK$4:$AK$33,BP$3)*$AV$1,0)</f>
        <v>0</v>
      </c>
      <c r="BQ9" s="53" cm="1">
        <f t="array" ref="BQ9">ROUND(INDEX($D$4:$D$33,$AS9)*INDEX($AK$4:$AK$33,BQ$3)*$AV$1,0)</f>
        <v>0</v>
      </c>
      <c r="BR9" s="53" cm="1">
        <f t="array" ref="BR9">ROUND(INDEX($D$4:$D$33,$AS9)*INDEX($AK$4:$AK$33,BR$3)*$AV$1,0)</f>
        <v>0</v>
      </c>
      <c r="BS9" s="53" cm="1">
        <f t="array" ref="BS9">ROUND(INDEX($D$4:$D$33,$AS9)*INDEX($AK$4:$AK$33,BS$3)*$AV$1,0)</f>
        <v>0</v>
      </c>
      <c r="BT9" s="53" cm="1">
        <f t="array" ref="BT9">ROUND(INDEX($D$4:$D$33,$AS9)*INDEX($AK$4:$AK$33,BT$3)*$AV$1,0)</f>
        <v>0</v>
      </c>
      <c r="BU9" s="53" cm="1">
        <f t="array" ref="BU9">ROUND(INDEX($D$4:$D$33,$AS9)*INDEX($AK$4:$AK$33,BU$3)*$AV$1,0)</f>
        <v>0</v>
      </c>
      <c r="BV9" s="53" cm="1">
        <f t="array" ref="BV9">ROUND(INDEX($D$4:$D$33,$AS9)*INDEX($AK$4:$AK$33,BV$3)*$AV$1,0)</f>
        <v>0</v>
      </c>
      <c r="BW9" s="53" cm="1">
        <f t="array" ref="BW9">ROUND(INDEX($D$4:$D$33,$AS9)*INDEX($AK$4:$AK$33,BW$3)*$AV$1,0)</f>
        <v>0</v>
      </c>
      <c r="BX9" s="38">
        <f t="shared" si="3"/>
        <v>0</v>
      </c>
      <c r="BZ9">
        <f>BX9+AY34</f>
        <v>0</v>
      </c>
      <c r="CA9" s="39">
        <v>6</v>
      </c>
      <c r="CD9">
        <v>0.44424194900973002</v>
      </c>
      <c r="CN9" s="2"/>
    </row>
    <row r="10" spans="1:122" x14ac:dyDescent="0.25">
      <c r="A10" s="1"/>
      <c r="B10" s="10">
        <v>7</v>
      </c>
      <c r="C10" s="4">
        <v>0.77667888193413703</v>
      </c>
      <c r="D10" s="45">
        <v>0.2</v>
      </c>
      <c r="E10" s="1"/>
      <c r="F10" s="13">
        <v>-1.4849538298842799</v>
      </c>
      <c r="G10" s="5">
        <v>0.87348694870903398</v>
      </c>
      <c r="H10" s="5">
        <v>1.8890548645546701E-3</v>
      </c>
      <c r="I10" s="5">
        <v>-0.32494158170086901</v>
      </c>
      <c r="J10" s="5">
        <v>-1.48717043014467</v>
      </c>
      <c r="K10" s="5">
        <v>0.264402559071929</v>
      </c>
      <c r="L10" s="13">
        <v>0</v>
      </c>
      <c r="M10" s="5">
        <v>0.73315659509429099</v>
      </c>
      <c r="N10" s="5">
        <v>0.39113487530580299</v>
      </c>
      <c r="O10" s="5">
        <v>-1.1654003787315099</v>
      </c>
      <c r="P10" s="5">
        <v>-0.24480737429280999</v>
      </c>
      <c r="Q10" s="5">
        <v>0.87756910634125296</v>
      </c>
      <c r="R10" s="5">
        <v>-0.37984659182723302</v>
      </c>
      <c r="S10" s="5">
        <v>0.77812072236795404</v>
      </c>
      <c r="T10" s="5">
        <v>1.4558359087831001</v>
      </c>
      <c r="U10" s="5">
        <v>2.04187285757471</v>
      </c>
      <c r="V10" s="5">
        <v>0.77967046388979</v>
      </c>
      <c r="W10" s="5">
        <v>0.58916309928594401</v>
      </c>
      <c r="X10" s="5">
        <v>1.5719416109061499</v>
      </c>
      <c r="Y10" s="5">
        <v>0.88560793846395502</v>
      </c>
      <c r="Z10" s="5">
        <v>-0.55529141827330997</v>
      </c>
      <c r="AA10" s="5">
        <v>1.5641833208801002E-2</v>
      </c>
      <c r="AB10" s="5">
        <v>-1.8422923728735802E-2</v>
      </c>
      <c r="AC10" s="5">
        <v>-0.72076685264583495</v>
      </c>
      <c r="AD10" s="5">
        <v>-0.19473584664238799</v>
      </c>
      <c r="AE10" s="5">
        <v>0.58644075965159204</v>
      </c>
      <c r="AF10" s="5">
        <v>-0.40362536036631902</v>
      </c>
      <c r="AG10" s="5">
        <v>-1.13285495420847E-2</v>
      </c>
      <c r="AH10" s="5">
        <v>1.5137950833399301</v>
      </c>
      <c r="AI10" s="5">
        <v>0.89337929643480096</v>
      </c>
      <c r="AJ10" s="1"/>
      <c r="AK10" s="26">
        <v>0</v>
      </c>
      <c r="AL10" s="15">
        <f t="shared" si="0"/>
        <v>0.15533577638682741</v>
      </c>
      <c r="AM10" s="37">
        <f t="shared" si="1"/>
        <v>10</v>
      </c>
      <c r="AN10" s="1"/>
      <c r="AO10" s="48">
        <v>0.2</v>
      </c>
      <c r="AP10" s="48">
        <v>0.2</v>
      </c>
      <c r="AQ10" s="47">
        <f t="shared" si="2"/>
        <v>0.1</v>
      </c>
      <c r="AR10" s="36"/>
      <c r="AS10" s="40">
        <v>7</v>
      </c>
      <c r="AT10" s="53" cm="1">
        <f t="array" ref="AT10">ROUND(INDEX($D$4:$D$33,$AS10)*INDEX($AK$4:$AK$33,AT$3)*$AV$1,0)</f>
        <v>0</v>
      </c>
      <c r="AU10" s="53" cm="1">
        <f t="array" ref="AU10">ROUND(INDEX($D$4:$D$33,$AS10)*INDEX($AK$4:$AK$33,AU$3)*$AV$1,0)</f>
        <v>0</v>
      </c>
      <c r="AV10" s="53" cm="1">
        <f t="array" ref="AV10">ROUND(INDEX($D$4:$D$33,$AS10)*INDEX($AK$4:$AK$33,AV$3)*$AV$1,0)</f>
        <v>0</v>
      </c>
      <c r="AW10" s="53" cm="1">
        <f t="array" ref="AW10">ROUND(INDEX($D$4:$D$33,$AS10)*INDEX($AK$4:$AK$33,AW$3)*$AV$1,0)</f>
        <v>0</v>
      </c>
      <c r="AX10" s="53" cm="1">
        <f t="array" ref="AX10">ROUND(INDEX($D$4:$D$33,$AS10)*INDEX($AK$4:$AK$33,AX$3)*$AV$1,0)</f>
        <v>0</v>
      </c>
      <c r="AY10" s="53" cm="1">
        <f t="array" ref="AY10">ROUND(INDEX($D$4:$D$33,$AS10)*INDEX($AK$4:$AK$33,AY$3)*$AV$1,0)</f>
        <v>0</v>
      </c>
      <c r="AZ10" s="52" cm="1">
        <f t="array" ref="AZ10">ROUND(INDEX($D$4:$D$33,$AS10)*INDEX($AK$4:$AK$33,AZ$3)*$AV$1,0)</f>
        <v>0</v>
      </c>
      <c r="BA10" s="53" cm="1">
        <f t="array" ref="BA10">ROUND(INDEX($D$4:$D$33,$AS10)*INDEX($AK$4:$AK$33,BA$3)*$AV$1,0)</f>
        <v>0</v>
      </c>
      <c r="BB10" s="53" cm="1">
        <f t="array" ref="BB10">ROUND(INDEX($D$4:$D$33,$AS10)*INDEX($AK$4:$AK$33,BB$3)*$AV$1,0)</f>
        <v>94</v>
      </c>
      <c r="BC10" s="53" cm="1">
        <f t="array" ref="BC10">ROUND(INDEX($D$4:$D$33,$AS10)*INDEX($AK$4:$AK$33,BC$3)*$AV$1,0)</f>
        <v>0</v>
      </c>
      <c r="BD10" s="53" cm="1">
        <f t="array" ref="BD10">ROUND(INDEX($D$4:$D$33,$AS10)*INDEX($AK$4:$AK$33,BD$3)*$AV$1,0)</f>
        <v>183</v>
      </c>
      <c r="BE10" s="53" cm="1">
        <f t="array" ref="BE10">ROUND(INDEX($D$4:$D$33,$AS10)*INDEX($AK$4:$AK$33,BE$3)*$AV$1,0)</f>
        <v>61</v>
      </c>
      <c r="BF10" s="53" cm="1">
        <f t="array" ref="BF10">ROUND(INDEX($D$4:$D$33,$AS10)*INDEX($AK$4:$AK$33,BF$3)*$AV$1,0)</f>
        <v>0</v>
      </c>
      <c r="BG10" s="53" cm="1">
        <f t="array" ref="BG10">ROUND(INDEX($D$4:$D$33,$AS10)*INDEX($AK$4:$AK$33,BG$3)*$AV$1,0)</f>
        <v>0</v>
      </c>
      <c r="BH10" s="53" cm="1">
        <f t="array" ref="BH10">ROUND(INDEX($D$4:$D$33,$AS10)*INDEX($AK$4:$AK$33,BH$3)*$AV$1,0)</f>
        <v>195</v>
      </c>
      <c r="BI10" s="53" cm="1">
        <f t="array" ref="BI10">ROUND(INDEX($D$4:$D$33,$AS10)*INDEX($AK$4:$AK$33,BI$3)*$AV$1,0)</f>
        <v>0</v>
      </c>
      <c r="BJ10" s="53" cm="1">
        <f t="array" ref="BJ10">ROUND(INDEX($D$4:$D$33,$AS10)*INDEX($AK$4:$AK$33,BJ$3)*$AV$1,0)</f>
        <v>30</v>
      </c>
      <c r="BK10" s="53" cm="1">
        <f t="array" ref="BK10">ROUND(INDEX($D$4:$D$33,$AS10)*INDEX($AK$4:$AK$33,BK$3)*$AV$1,0)</f>
        <v>0</v>
      </c>
      <c r="BL10" s="53" cm="1">
        <f t="array" ref="BL10">ROUND(INDEX($D$4:$D$33,$AS10)*INDEX($AK$4:$AK$33,BL$3)*$AV$1,0)</f>
        <v>0</v>
      </c>
      <c r="BM10" s="53" cm="1">
        <f t="array" ref="BM10">ROUND(INDEX($D$4:$D$33,$AS10)*INDEX($AK$4:$AK$33,BM$3)*$AV$1,0)</f>
        <v>0</v>
      </c>
      <c r="BN10" s="53" cm="1">
        <f t="array" ref="BN10">ROUND(INDEX($D$4:$D$33,$AS10)*INDEX($AK$4:$AK$33,BN$3)*$AV$1,0)</f>
        <v>0</v>
      </c>
      <c r="BO10" s="53" cm="1">
        <f t="array" ref="BO10">ROUND(INDEX($D$4:$D$33,$AS10)*INDEX($AK$4:$AK$33,BO$3)*$AV$1,0)</f>
        <v>0</v>
      </c>
      <c r="BP10" s="53" cm="1">
        <f t="array" ref="BP10">ROUND(INDEX($D$4:$D$33,$AS10)*INDEX($AK$4:$AK$33,BP$3)*$AV$1,0)</f>
        <v>0</v>
      </c>
      <c r="BQ10" s="53" cm="1">
        <f t="array" ref="BQ10">ROUND(INDEX($D$4:$D$33,$AS10)*INDEX($AK$4:$AK$33,BQ$3)*$AV$1,0)</f>
        <v>13</v>
      </c>
      <c r="BR10" s="53" cm="1">
        <f t="array" ref="BR10">ROUND(INDEX($D$4:$D$33,$AS10)*INDEX($AK$4:$AK$33,BR$3)*$AV$1,0)</f>
        <v>0</v>
      </c>
      <c r="BS10" s="53" cm="1">
        <f t="array" ref="BS10">ROUND(INDEX($D$4:$D$33,$AS10)*INDEX($AK$4:$AK$33,BS$3)*$AV$1,0)</f>
        <v>0</v>
      </c>
      <c r="BT10" s="53" cm="1">
        <f t="array" ref="BT10">ROUND(INDEX($D$4:$D$33,$AS10)*INDEX($AK$4:$AK$33,BT$3)*$AV$1,0)</f>
        <v>83</v>
      </c>
      <c r="BU10" s="53" cm="1">
        <f t="array" ref="BU10">ROUND(INDEX($D$4:$D$33,$AS10)*INDEX($AK$4:$AK$33,BU$3)*$AV$1,0)</f>
        <v>0</v>
      </c>
      <c r="BV10" s="53" cm="1">
        <f t="array" ref="BV10">ROUND(INDEX($D$4:$D$33,$AS10)*INDEX($AK$4:$AK$33,BV$3)*$AV$1,0)</f>
        <v>141</v>
      </c>
      <c r="BW10" s="53" cm="1">
        <f t="array" ref="BW10">ROUND(INDEX($D$4:$D$33,$AS10)*INDEX($AK$4:$AK$33,BW$3)*$AV$1,0)</f>
        <v>200</v>
      </c>
      <c r="BX10" s="38">
        <f t="shared" si="3"/>
        <v>1000</v>
      </c>
      <c r="BZ10">
        <f>BX10+AZ34</f>
        <v>1000</v>
      </c>
      <c r="CA10" s="39">
        <v>7</v>
      </c>
      <c r="CD10">
        <v>-1.6507078436493901E-2</v>
      </c>
      <c r="CN10" s="2"/>
    </row>
    <row r="11" spans="1:122" x14ac:dyDescent="0.25">
      <c r="A11" s="1"/>
      <c r="B11" s="10">
        <v>8</v>
      </c>
      <c r="C11" s="4">
        <v>-1.32425369806763</v>
      </c>
      <c r="D11" s="45">
        <v>0</v>
      </c>
      <c r="E11" s="1"/>
      <c r="F11" s="13">
        <v>-5.5826056726997898E-2</v>
      </c>
      <c r="G11" s="5">
        <v>0.86840686751216201</v>
      </c>
      <c r="H11" s="5">
        <v>-0.37573238534937697</v>
      </c>
      <c r="I11" s="5">
        <v>-0.20230664459521899</v>
      </c>
      <c r="J11" s="5">
        <v>-0.16094150204178501</v>
      </c>
      <c r="K11" s="5">
        <v>0.47695990657556298</v>
      </c>
      <c r="L11" s="5">
        <v>0.73315659509429099</v>
      </c>
      <c r="M11" s="13">
        <v>0</v>
      </c>
      <c r="N11" s="5">
        <v>1.0312511191365401</v>
      </c>
      <c r="O11" s="5">
        <v>-0.40494269772647301</v>
      </c>
      <c r="P11" s="5">
        <v>-0.819524628358967</v>
      </c>
      <c r="Q11" s="5">
        <v>0.39264263703815899</v>
      </c>
      <c r="R11" s="5">
        <v>-0.161879541210631</v>
      </c>
      <c r="S11" s="5">
        <v>-1.0039090708590599</v>
      </c>
      <c r="T11" s="5">
        <v>1.8875048975743401E-2</v>
      </c>
      <c r="U11" s="5">
        <v>0.64992688059927595</v>
      </c>
      <c r="V11" s="5">
        <v>-0.23040894545995499</v>
      </c>
      <c r="W11" s="5">
        <v>-0.84750314548495498</v>
      </c>
      <c r="X11" s="5">
        <v>-0.92057907160016095</v>
      </c>
      <c r="Y11" s="5">
        <v>0.155675627749193</v>
      </c>
      <c r="Z11" s="5">
        <v>0.58560900210076805</v>
      </c>
      <c r="AA11" s="5">
        <v>0.73556040040030901</v>
      </c>
      <c r="AB11" s="5">
        <v>-0.46456858676021501</v>
      </c>
      <c r="AC11" s="5">
        <v>2.6586836751998001E-2</v>
      </c>
      <c r="AD11" s="5">
        <v>-1.72763802593741</v>
      </c>
      <c r="AE11" s="5">
        <v>0.11004884188777</v>
      </c>
      <c r="AF11" s="5">
        <v>0.92254772374947702</v>
      </c>
      <c r="AG11" s="5">
        <v>0.36428358567848002</v>
      </c>
      <c r="AH11" s="5">
        <v>-0.48944384316488299</v>
      </c>
      <c r="AI11" s="5">
        <v>0.27096414221656001</v>
      </c>
      <c r="AJ11" s="1"/>
      <c r="AK11" s="26">
        <v>0</v>
      </c>
      <c r="AL11" s="15">
        <f t="shared" si="0"/>
        <v>0</v>
      </c>
      <c r="AM11" s="37">
        <f t="shared" si="1"/>
        <v>0</v>
      </c>
      <c r="AN11" s="1"/>
      <c r="AO11" s="48">
        <v>0.2</v>
      </c>
      <c r="AP11" s="48">
        <v>0.2</v>
      </c>
      <c r="AQ11" s="47">
        <f t="shared" si="2"/>
        <v>0</v>
      </c>
      <c r="AR11" s="36"/>
      <c r="AS11" s="40">
        <v>8</v>
      </c>
      <c r="AT11" s="53" cm="1">
        <f t="array" ref="AT11">ROUND(INDEX($D$4:$D$33,$AS11)*INDEX($AK$4:$AK$33,AT$3)*$AV$1,0)</f>
        <v>0</v>
      </c>
      <c r="AU11" s="53" cm="1">
        <f t="array" ref="AU11">ROUND(INDEX($D$4:$D$33,$AS11)*INDEX($AK$4:$AK$33,AU$3)*$AV$1,0)</f>
        <v>0</v>
      </c>
      <c r="AV11" s="53" cm="1">
        <f t="array" ref="AV11">ROUND(INDEX($D$4:$D$33,$AS11)*INDEX($AK$4:$AK$33,AV$3)*$AV$1,0)</f>
        <v>0</v>
      </c>
      <c r="AW11" s="53" cm="1">
        <f t="array" ref="AW11">ROUND(INDEX($D$4:$D$33,$AS11)*INDEX($AK$4:$AK$33,AW$3)*$AV$1,0)</f>
        <v>0</v>
      </c>
      <c r="AX11" s="53" cm="1">
        <f t="array" ref="AX11">ROUND(INDEX($D$4:$D$33,$AS11)*INDEX($AK$4:$AK$33,AX$3)*$AV$1,0)</f>
        <v>0</v>
      </c>
      <c r="AY11" s="53" cm="1">
        <f t="array" ref="AY11">ROUND(INDEX($D$4:$D$33,$AS11)*INDEX($AK$4:$AK$33,AY$3)*$AV$1,0)</f>
        <v>0</v>
      </c>
      <c r="AZ11" s="53" cm="1">
        <f t="array" ref="AZ11">ROUND(INDEX($D$4:$D$33,$AS11)*INDEX($AK$4:$AK$33,AZ$3)*$AV$1,0)</f>
        <v>0</v>
      </c>
      <c r="BA11" s="52" cm="1">
        <f t="array" ref="BA11">ROUND(INDEX($D$4:$D$33,$AS11)*INDEX($AK$4:$AK$33,BA$3)*$AV$1,0)</f>
        <v>0</v>
      </c>
      <c r="BB11" s="53" cm="1">
        <f t="array" ref="BB11">ROUND(INDEX($D$4:$D$33,$AS11)*INDEX($AK$4:$AK$33,BB$3)*$AV$1,0)</f>
        <v>0</v>
      </c>
      <c r="BC11" s="53" cm="1">
        <f t="array" ref="BC11">ROUND(INDEX($D$4:$D$33,$AS11)*INDEX($AK$4:$AK$33,BC$3)*$AV$1,0)</f>
        <v>0</v>
      </c>
      <c r="BD11" s="53" cm="1">
        <f t="array" ref="BD11">ROUND(INDEX($D$4:$D$33,$AS11)*INDEX($AK$4:$AK$33,BD$3)*$AV$1,0)</f>
        <v>0</v>
      </c>
      <c r="BE11" s="53" cm="1">
        <f t="array" ref="BE11">ROUND(INDEX($D$4:$D$33,$AS11)*INDEX($AK$4:$AK$33,BE$3)*$AV$1,0)</f>
        <v>0</v>
      </c>
      <c r="BF11" s="53" cm="1">
        <f t="array" ref="BF11">ROUND(INDEX($D$4:$D$33,$AS11)*INDEX($AK$4:$AK$33,BF$3)*$AV$1,0)</f>
        <v>0</v>
      </c>
      <c r="BG11" s="53" cm="1">
        <f t="array" ref="BG11">ROUND(INDEX($D$4:$D$33,$AS11)*INDEX($AK$4:$AK$33,BG$3)*$AV$1,0)</f>
        <v>0</v>
      </c>
      <c r="BH11" s="53" cm="1">
        <f t="array" ref="BH11">ROUND(INDEX($D$4:$D$33,$AS11)*INDEX($AK$4:$AK$33,BH$3)*$AV$1,0)</f>
        <v>0</v>
      </c>
      <c r="BI11" s="53" cm="1">
        <f t="array" ref="BI11">ROUND(INDEX($D$4:$D$33,$AS11)*INDEX($AK$4:$AK$33,BI$3)*$AV$1,0)</f>
        <v>0</v>
      </c>
      <c r="BJ11" s="53" cm="1">
        <f t="array" ref="BJ11">ROUND(INDEX($D$4:$D$33,$AS11)*INDEX($AK$4:$AK$33,BJ$3)*$AV$1,0)</f>
        <v>0</v>
      </c>
      <c r="BK11" s="53" cm="1">
        <f t="array" ref="BK11">ROUND(INDEX($D$4:$D$33,$AS11)*INDEX($AK$4:$AK$33,BK$3)*$AV$1,0)</f>
        <v>0</v>
      </c>
      <c r="BL11" s="53" cm="1">
        <f t="array" ref="BL11">ROUND(INDEX($D$4:$D$33,$AS11)*INDEX($AK$4:$AK$33,BL$3)*$AV$1,0)</f>
        <v>0</v>
      </c>
      <c r="BM11" s="53" cm="1">
        <f t="array" ref="BM11">ROUND(INDEX($D$4:$D$33,$AS11)*INDEX($AK$4:$AK$33,BM$3)*$AV$1,0)</f>
        <v>0</v>
      </c>
      <c r="BN11" s="53" cm="1">
        <f t="array" ref="BN11">ROUND(INDEX($D$4:$D$33,$AS11)*INDEX($AK$4:$AK$33,BN$3)*$AV$1,0)</f>
        <v>0</v>
      </c>
      <c r="BO11" s="53" cm="1">
        <f t="array" ref="BO11">ROUND(INDEX($D$4:$D$33,$AS11)*INDEX($AK$4:$AK$33,BO$3)*$AV$1,0)</f>
        <v>0</v>
      </c>
      <c r="BP11" s="53" cm="1">
        <f t="array" ref="BP11">ROUND(INDEX($D$4:$D$33,$AS11)*INDEX($AK$4:$AK$33,BP$3)*$AV$1,0)</f>
        <v>0</v>
      </c>
      <c r="BQ11" s="53" cm="1">
        <f t="array" ref="BQ11">ROUND(INDEX($D$4:$D$33,$AS11)*INDEX($AK$4:$AK$33,BQ$3)*$AV$1,0)</f>
        <v>0</v>
      </c>
      <c r="BR11" s="53" cm="1">
        <f t="array" ref="BR11">ROUND(INDEX($D$4:$D$33,$AS11)*INDEX($AK$4:$AK$33,BR$3)*$AV$1,0)</f>
        <v>0</v>
      </c>
      <c r="BS11" s="53" cm="1">
        <f t="array" ref="BS11">ROUND(INDEX($D$4:$D$33,$AS11)*INDEX($AK$4:$AK$33,BS$3)*$AV$1,0)</f>
        <v>0</v>
      </c>
      <c r="BT11" s="53" cm="1">
        <f t="array" ref="BT11">ROUND(INDEX($D$4:$D$33,$AS11)*INDEX($AK$4:$AK$33,BT$3)*$AV$1,0)</f>
        <v>0</v>
      </c>
      <c r="BU11" s="53" cm="1">
        <f t="array" ref="BU11">ROUND(INDEX($D$4:$D$33,$AS11)*INDEX($AK$4:$AK$33,BU$3)*$AV$1,0)</f>
        <v>0</v>
      </c>
      <c r="BV11" s="53" cm="1">
        <f t="array" ref="BV11">ROUND(INDEX($D$4:$D$33,$AS11)*INDEX($AK$4:$AK$33,BV$3)*$AV$1,0)</f>
        <v>0</v>
      </c>
      <c r="BW11" s="53" cm="1">
        <f t="array" ref="BW11">ROUND(INDEX($D$4:$D$33,$AS11)*INDEX($AK$4:$AK$33,BW$3)*$AV$1,0)</f>
        <v>0</v>
      </c>
      <c r="BX11" s="38">
        <f t="shared" si="3"/>
        <v>0</v>
      </c>
      <c r="BZ11">
        <f>BX11+BA34</f>
        <v>0</v>
      </c>
      <c r="CA11" s="39">
        <v>8</v>
      </c>
      <c r="CD11">
        <v>0.70231000920858999</v>
      </c>
      <c r="CN11" s="2"/>
    </row>
    <row r="12" spans="1:122" x14ac:dyDescent="0.25">
      <c r="A12" s="1"/>
      <c r="B12" s="10">
        <v>9</v>
      </c>
      <c r="C12" s="4">
        <v>1.5002766519611099</v>
      </c>
      <c r="D12" s="45">
        <v>0</v>
      </c>
      <c r="E12" s="1"/>
      <c r="F12" s="13">
        <v>0.233100622645561</v>
      </c>
      <c r="G12" s="5">
        <v>-0.74805022331696003</v>
      </c>
      <c r="H12" s="5">
        <v>-0.45493069651093498</v>
      </c>
      <c r="I12" s="5">
        <v>0.18274523517077301</v>
      </c>
      <c r="J12" s="5">
        <v>0.63052308911433397</v>
      </c>
      <c r="K12" s="5">
        <v>-0.59158137990241</v>
      </c>
      <c r="L12" s="5">
        <v>0.39113487530580299</v>
      </c>
      <c r="M12" s="5">
        <v>1.0312511191365401</v>
      </c>
      <c r="N12" s="13">
        <v>0</v>
      </c>
      <c r="O12" s="5">
        <v>0.46614744704586097</v>
      </c>
      <c r="P12" s="5">
        <v>0.237465079459932</v>
      </c>
      <c r="Q12" s="5">
        <v>0.497391365936733</v>
      </c>
      <c r="R12" s="5">
        <v>-0.37916508271968302</v>
      </c>
      <c r="S12" s="5">
        <v>-0.14399246269836399</v>
      </c>
      <c r="T12" s="5">
        <v>-0.170076354502077</v>
      </c>
      <c r="U12" s="5">
        <v>0.28693618067216697</v>
      </c>
      <c r="V12" s="5">
        <v>-0.41211238268572897</v>
      </c>
      <c r="W12" s="5">
        <v>0.43753892099449099</v>
      </c>
      <c r="X12" s="5">
        <v>-0.64275358759630596</v>
      </c>
      <c r="Y12" s="5">
        <v>0.57643110280546395</v>
      </c>
      <c r="Z12" s="5">
        <v>0.47193509271107698</v>
      </c>
      <c r="AA12" s="5">
        <v>0.87079074971359904</v>
      </c>
      <c r="AB12" s="5">
        <v>0.47923852122444599</v>
      </c>
      <c r="AC12" s="5">
        <v>9.69608165848454E-2</v>
      </c>
      <c r="AD12" s="5">
        <v>-0.30216287967738698</v>
      </c>
      <c r="AE12" s="5">
        <v>5.9194642446617103E-2</v>
      </c>
      <c r="AF12" s="5">
        <v>-3.0154022455411902E-2</v>
      </c>
      <c r="AG12" s="5">
        <v>0.31454206382537397</v>
      </c>
      <c r="AH12" s="5">
        <v>7.0213828229987604E-2</v>
      </c>
      <c r="AI12" s="5">
        <v>-8.4051916289703404E-2</v>
      </c>
      <c r="AJ12" s="1"/>
      <c r="AK12" s="26">
        <v>9.3570648494630565E-2</v>
      </c>
      <c r="AL12" s="15">
        <f t="shared" si="0"/>
        <v>0.14038185924535421</v>
      </c>
      <c r="AM12" s="37">
        <f t="shared" si="1"/>
        <v>4.6785324247315279</v>
      </c>
      <c r="AN12" s="1"/>
      <c r="AO12" s="48">
        <v>0.2</v>
      </c>
      <c r="AP12" s="48">
        <v>0.2</v>
      </c>
      <c r="AQ12" s="47">
        <f t="shared" si="2"/>
        <v>4.6785324247315282E-2</v>
      </c>
      <c r="AR12" s="36"/>
      <c r="AS12" s="40">
        <v>9</v>
      </c>
      <c r="AT12" s="53" cm="1">
        <f t="array" ref="AT12">ROUND(INDEX($D$4:$D$33,$AS12)*INDEX($AK$4:$AK$33,AT$3)*$AV$1,0)</f>
        <v>0</v>
      </c>
      <c r="AU12" s="53" cm="1">
        <f t="array" ref="AU12">ROUND(INDEX($D$4:$D$33,$AS12)*INDEX($AK$4:$AK$33,AU$3)*$AV$1,0)</f>
        <v>0</v>
      </c>
      <c r="AV12" s="53" cm="1">
        <f t="array" ref="AV12">ROUND(INDEX($D$4:$D$33,$AS12)*INDEX($AK$4:$AK$33,AV$3)*$AV$1,0)</f>
        <v>0</v>
      </c>
      <c r="AW12" s="53" cm="1">
        <f t="array" ref="AW12">ROUND(INDEX($D$4:$D$33,$AS12)*INDEX($AK$4:$AK$33,AW$3)*$AV$1,0)</f>
        <v>0</v>
      </c>
      <c r="AX12" s="53" cm="1">
        <f t="array" ref="AX12">ROUND(INDEX($D$4:$D$33,$AS12)*INDEX($AK$4:$AK$33,AX$3)*$AV$1,0)</f>
        <v>0</v>
      </c>
      <c r="AY12" s="53" cm="1">
        <f t="array" ref="AY12">ROUND(INDEX($D$4:$D$33,$AS12)*INDEX($AK$4:$AK$33,AY$3)*$AV$1,0)</f>
        <v>0</v>
      </c>
      <c r="AZ12" s="53" cm="1">
        <f t="array" ref="AZ12">ROUND(INDEX($D$4:$D$33,$AS12)*INDEX($AK$4:$AK$33,AZ$3)*$AV$1,0)</f>
        <v>0</v>
      </c>
      <c r="BA12" s="53" cm="1">
        <f t="array" ref="BA12">ROUND(INDEX($D$4:$D$33,$AS12)*INDEX($AK$4:$AK$33,BA$3)*$AV$1,0)</f>
        <v>0</v>
      </c>
      <c r="BB12" s="52" cm="1">
        <f t="array" ref="BB12">ROUND(INDEX($D$4:$D$33,$AS12)*INDEX($AK$4:$AK$33,BB$3)*$AV$1,0)</f>
        <v>0</v>
      </c>
      <c r="BC12" s="53" cm="1">
        <f t="array" ref="BC12">ROUND(INDEX($D$4:$D$33,$AS12)*INDEX($AK$4:$AK$33,BC$3)*$AV$1,0)</f>
        <v>0</v>
      </c>
      <c r="BD12" s="53" cm="1">
        <f t="array" ref="BD12">ROUND(INDEX($D$4:$D$33,$AS12)*INDEX($AK$4:$AK$33,BD$3)*$AV$1,0)</f>
        <v>0</v>
      </c>
      <c r="BE12" s="53" cm="1">
        <f t="array" ref="BE12">ROUND(INDEX($D$4:$D$33,$AS12)*INDEX($AK$4:$AK$33,BE$3)*$AV$1,0)</f>
        <v>0</v>
      </c>
      <c r="BF12" s="53" cm="1">
        <f t="array" ref="BF12">ROUND(INDEX($D$4:$D$33,$AS12)*INDEX($AK$4:$AK$33,BF$3)*$AV$1,0)</f>
        <v>0</v>
      </c>
      <c r="BG12" s="53" cm="1">
        <f t="array" ref="BG12">ROUND(INDEX($D$4:$D$33,$AS12)*INDEX($AK$4:$AK$33,BG$3)*$AV$1,0)</f>
        <v>0</v>
      </c>
      <c r="BH12" s="53" cm="1">
        <f t="array" ref="BH12">ROUND(INDEX($D$4:$D$33,$AS12)*INDEX($AK$4:$AK$33,BH$3)*$AV$1,0)</f>
        <v>0</v>
      </c>
      <c r="BI12" s="53" cm="1">
        <f t="array" ref="BI12">ROUND(INDEX($D$4:$D$33,$AS12)*INDEX($AK$4:$AK$33,BI$3)*$AV$1,0)</f>
        <v>0</v>
      </c>
      <c r="BJ12" s="53" cm="1">
        <f t="array" ref="BJ12">ROUND(INDEX($D$4:$D$33,$AS12)*INDEX($AK$4:$AK$33,BJ$3)*$AV$1,0)</f>
        <v>0</v>
      </c>
      <c r="BK12" s="53" cm="1">
        <f t="array" ref="BK12">ROUND(INDEX($D$4:$D$33,$AS12)*INDEX($AK$4:$AK$33,BK$3)*$AV$1,0)</f>
        <v>0</v>
      </c>
      <c r="BL12" s="53" cm="1">
        <f t="array" ref="BL12">ROUND(INDEX($D$4:$D$33,$AS12)*INDEX($AK$4:$AK$33,BL$3)*$AV$1,0)</f>
        <v>0</v>
      </c>
      <c r="BM12" s="53" cm="1">
        <f t="array" ref="BM12">ROUND(INDEX($D$4:$D$33,$AS12)*INDEX($AK$4:$AK$33,BM$3)*$AV$1,0)</f>
        <v>0</v>
      </c>
      <c r="BN12" s="53" cm="1">
        <f t="array" ref="BN12">ROUND(INDEX($D$4:$D$33,$AS12)*INDEX($AK$4:$AK$33,BN$3)*$AV$1,0)</f>
        <v>0</v>
      </c>
      <c r="BO12" s="53" cm="1">
        <f t="array" ref="BO12">ROUND(INDEX($D$4:$D$33,$AS12)*INDEX($AK$4:$AK$33,BO$3)*$AV$1,0)</f>
        <v>0</v>
      </c>
      <c r="BP12" s="53" cm="1">
        <f t="array" ref="BP12">ROUND(INDEX($D$4:$D$33,$AS12)*INDEX($AK$4:$AK$33,BP$3)*$AV$1,0)</f>
        <v>0</v>
      </c>
      <c r="BQ12" s="53" cm="1">
        <f t="array" ref="BQ12">ROUND(INDEX($D$4:$D$33,$AS12)*INDEX($AK$4:$AK$33,BQ$3)*$AV$1,0)</f>
        <v>0</v>
      </c>
      <c r="BR12" s="53" cm="1">
        <f t="array" ref="BR12">ROUND(INDEX($D$4:$D$33,$AS12)*INDEX($AK$4:$AK$33,BR$3)*$AV$1,0)</f>
        <v>0</v>
      </c>
      <c r="BS12" s="53" cm="1">
        <f t="array" ref="BS12">ROUND(INDEX($D$4:$D$33,$AS12)*INDEX($AK$4:$AK$33,BS$3)*$AV$1,0)</f>
        <v>0</v>
      </c>
      <c r="BT12" s="53" cm="1">
        <f t="array" ref="BT12">ROUND(INDEX($D$4:$D$33,$AS12)*INDEX($AK$4:$AK$33,BT$3)*$AV$1,0)</f>
        <v>0</v>
      </c>
      <c r="BU12" s="53" cm="1">
        <f t="array" ref="BU12">ROUND(INDEX($D$4:$D$33,$AS12)*INDEX($AK$4:$AK$33,BU$3)*$AV$1,0)</f>
        <v>0</v>
      </c>
      <c r="BV12" s="53" cm="1">
        <f t="array" ref="BV12">ROUND(INDEX($D$4:$D$33,$AS12)*INDEX($AK$4:$AK$33,BV$3)*$AV$1,0)</f>
        <v>0</v>
      </c>
      <c r="BW12" s="53" cm="1">
        <f t="array" ref="BW12">ROUND(INDEX($D$4:$D$33,$AS12)*INDEX($AK$4:$AK$33,BW$3)*$AV$1,0)</f>
        <v>0</v>
      </c>
      <c r="BX12" s="38">
        <f t="shared" si="3"/>
        <v>0</v>
      </c>
      <c r="BZ12">
        <f>BX12+BB34</f>
        <v>469</v>
      </c>
      <c r="CA12" s="39">
        <v>9</v>
      </c>
      <c r="CD12">
        <v>1.4631251659512401</v>
      </c>
      <c r="CN12" s="2"/>
    </row>
    <row r="13" spans="1:122" x14ac:dyDescent="0.25">
      <c r="A13" s="1"/>
      <c r="B13" s="10">
        <v>10</v>
      </c>
      <c r="C13" s="4">
        <v>-2.2029028589138102</v>
      </c>
      <c r="D13" s="45">
        <v>0</v>
      </c>
      <c r="E13" s="1"/>
      <c r="F13" s="13">
        <v>-0.55120302390134401</v>
      </c>
      <c r="G13" s="5">
        <v>-0.53243155290007504</v>
      </c>
      <c r="H13" s="5">
        <v>-0.73053561368001896</v>
      </c>
      <c r="I13" s="5">
        <v>0.82295810863496299</v>
      </c>
      <c r="J13" s="5">
        <v>-0.41019693122726197</v>
      </c>
      <c r="K13" s="5">
        <v>0.29507734825624499</v>
      </c>
      <c r="L13" s="5">
        <v>-1.1654003787315099</v>
      </c>
      <c r="M13" s="5">
        <v>-0.40494269772647301</v>
      </c>
      <c r="N13" s="5">
        <v>0.46614744704586097</v>
      </c>
      <c r="O13" s="13">
        <v>0</v>
      </c>
      <c r="P13" s="5">
        <v>0.23493132107367501</v>
      </c>
      <c r="Q13" s="5">
        <v>0.323970403960055</v>
      </c>
      <c r="R13" s="5">
        <v>1.01754169978609</v>
      </c>
      <c r="S13" s="5">
        <v>1.2666451286735299E-2</v>
      </c>
      <c r="T13" s="5">
        <v>0.73431284459444701</v>
      </c>
      <c r="U13" s="5">
        <v>1.35494662381402</v>
      </c>
      <c r="V13" s="5">
        <v>0.53145243169453504</v>
      </c>
      <c r="W13" s="5">
        <v>-0.58860462028989502</v>
      </c>
      <c r="X13" s="5">
        <v>-5.48008954432605E-2</v>
      </c>
      <c r="Y13" s="5">
        <v>0.80569316291118898</v>
      </c>
      <c r="Z13" s="5">
        <v>-8.8742525545002199E-2</v>
      </c>
      <c r="AA13" s="5">
        <v>0.39610666753248203</v>
      </c>
      <c r="AB13" s="5">
        <v>-0.36121427986744098</v>
      </c>
      <c r="AC13" s="5">
        <v>-1.07554636895884</v>
      </c>
      <c r="AD13" s="5">
        <v>0.21853869527608699</v>
      </c>
      <c r="AE13" s="5">
        <v>0.26489408084771299</v>
      </c>
      <c r="AF13" s="5">
        <v>0.63323587997992004</v>
      </c>
      <c r="AG13" s="5">
        <v>0.80673693545215197</v>
      </c>
      <c r="AH13" s="5">
        <v>1.0146829814095399</v>
      </c>
      <c r="AI13" s="5">
        <v>0.29503829965059303</v>
      </c>
      <c r="AJ13" s="1"/>
      <c r="AK13" s="26">
        <v>0</v>
      </c>
      <c r="AL13" s="15">
        <f t="shared" si="0"/>
        <v>0</v>
      </c>
      <c r="AM13" s="37">
        <f t="shared" si="1"/>
        <v>0</v>
      </c>
      <c r="AN13" s="1"/>
      <c r="AO13" s="48">
        <v>0.2</v>
      </c>
      <c r="AP13" s="48">
        <v>0.2</v>
      </c>
      <c r="AQ13" s="47">
        <f t="shared" si="2"/>
        <v>0</v>
      </c>
      <c r="AR13" s="36"/>
      <c r="AS13" s="40">
        <v>10</v>
      </c>
      <c r="AT13" s="53" cm="1">
        <f t="array" ref="AT13">ROUND(INDEX($D$4:$D$33,$AS13)*INDEX($AK$4:$AK$33,AT$3)*$AV$1,0)</f>
        <v>0</v>
      </c>
      <c r="AU13" s="53" cm="1">
        <f t="array" ref="AU13">ROUND(INDEX($D$4:$D$33,$AS13)*INDEX($AK$4:$AK$33,AU$3)*$AV$1,0)</f>
        <v>0</v>
      </c>
      <c r="AV13" s="53" cm="1">
        <f t="array" ref="AV13">ROUND(INDEX($D$4:$D$33,$AS13)*INDEX($AK$4:$AK$33,AV$3)*$AV$1,0)</f>
        <v>0</v>
      </c>
      <c r="AW13" s="53" cm="1">
        <f t="array" ref="AW13">ROUND(INDEX($D$4:$D$33,$AS13)*INDEX($AK$4:$AK$33,AW$3)*$AV$1,0)</f>
        <v>0</v>
      </c>
      <c r="AX13" s="53" cm="1">
        <f t="array" ref="AX13">ROUND(INDEX($D$4:$D$33,$AS13)*INDEX($AK$4:$AK$33,AX$3)*$AV$1,0)</f>
        <v>0</v>
      </c>
      <c r="AY13" s="53" cm="1">
        <f t="array" ref="AY13">ROUND(INDEX($D$4:$D$33,$AS13)*INDEX($AK$4:$AK$33,AY$3)*$AV$1,0)</f>
        <v>0</v>
      </c>
      <c r="AZ13" s="53" cm="1">
        <f t="array" ref="AZ13">ROUND(INDEX($D$4:$D$33,$AS13)*INDEX($AK$4:$AK$33,AZ$3)*$AV$1,0)</f>
        <v>0</v>
      </c>
      <c r="BA13" s="53" cm="1">
        <f t="array" ref="BA13">ROUND(INDEX($D$4:$D$33,$AS13)*INDEX($AK$4:$AK$33,BA$3)*$AV$1,0)</f>
        <v>0</v>
      </c>
      <c r="BB13" s="53" cm="1">
        <f t="array" ref="BB13">ROUND(INDEX($D$4:$D$33,$AS13)*INDEX($AK$4:$AK$33,BB$3)*$AV$1,0)</f>
        <v>0</v>
      </c>
      <c r="BC13" s="52" cm="1">
        <f t="array" ref="BC13">ROUND(INDEX($D$4:$D$33,$AS13)*INDEX($AK$4:$AK$33,BC$3)*$AV$1,0)</f>
        <v>0</v>
      </c>
      <c r="BD13" s="53" cm="1">
        <f t="array" ref="BD13">ROUND(INDEX($D$4:$D$33,$AS13)*INDEX($AK$4:$AK$33,BD$3)*$AV$1,0)</f>
        <v>0</v>
      </c>
      <c r="BE13" s="53" cm="1">
        <f t="array" ref="BE13">ROUND(INDEX($D$4:$D$33,$AS13)*INDEX($AK$4:$AK$33,BE$3)*$AV$1,0)</f>
        <v>0</v>
      </c>
      <c r="BF13" s="53" cm="1">
        <f t="array" ref="BF13">ROUND(INDEX($D$4:$D$33,$AS13)*INDEX($AK$4:$AK$33,BF$3)*$AV$1,0)</f>
        <v>0</v>
      </c>
      <c r="BG13" s="53" cm="1">
        <f t="array" ref="BG13">ROUND(INDEX($D$4:$D$33,$AS13)*INDEX($AK$4:$AK$33,BG$3)*$AV$1,0)</f>
        <v>0</v>
      </c>
      <c r="BH13" s="53" cm="1">
        <f t="array" ref="BH13">ROUND(INDEX($D$4:$D$33,$AS13)*INDEX($AK$4:$AK$33,BH$3)*$AV$1,0)</f>
        <v>0</v>
      </c>
      <c r="BI13" s="53" cm="1">
        <f t="array" ref="BI13">ROUND(INDEX($D$4:$D$33,$AS13)*INDEX($AK$4:$AK$33,BI$3)*$AV$1,0)</f>
        <v>0</v>
      </c>
      <c r="BJ13" s="53" cm="1">
        <f t="array" ref="BJ13">ROUND(INDEX($D$4:$D$33,$AS13)*INDEX($AK$4:$AK$33,BJ$3)*$AV$1,0)</f>
        <v>0</v>
      </c>
      <c r="BK13" s="53" cm="1">
        <f t="array" ref="BK13">ROUND(INDEX($D$4:$D$33,$AS13)*INDEX($AK$4:$AK$33,BK$3)*$AV$1,0)</f>
        <v>0</v>
      </c>
      <c r="BL13" s="53" cm="1">
        <f t="array" ref="BL13">ROUND(INDEX($D$4:$D$33,$AS13)*INDEX($AK$4:$AK$33,BL$3)*$AV$1,0)</f>
        <v>0</v>
      </c>
      <c r="BM13" s="53" cm="1">
        <f t="array" ref="BM13">ROUND(INDEX($D$4:$D$33,$AS13)*INDEX($AK$4:$AK$33,BM$3)*$AV$1,0)</f>
        <v>0</v>
      </c>
      <c r="BN13" s="53" cm="1">
        <f t="array" ref="BN13">ROUND(INDEX($D$4:$D$33,$AS13)*INDEX($AK$4:$AK$33,BN$3)*$AV$1,0)</f>
        <v>0</v>
      </c>
      <c r="BO13" s="53" cm="1">
        <f t="array" ref="BO13">ROUND(INDEX($D$4:$D$33,$AS13)*INDEX($AK$4:$AK$33,BO$3)*$AV$1,0)</f>
        <v>0</v>
      </c>
      <c r="BP13" s="53" cm="1">
        <f t="array" ref="BP13">ROUND(INDEX($D$4:$D$33,$AS13)*INDEX($AK$4:$AK$33,BP$3)*$AV$1,0)</f>
        <v>0</v>
      </c>
      <c r="BQ13" s="53" cm="1">
        <f t="array" ref="BQ13">ROUND(INDEX($D$4:$D$33,$AS13)*INDEX($AK$4:$AK$33,BQ$3)*$AV$1,0)</f>
        <v>0</v>
      </c>
      <c r="BR13" s="53" cm="1">
        <f t="array" ref="BR13">ROUND(INDEX($D$4:$D$33,$AS13)*INDEX($AK$4:$AK$33,BR$3)*$AV$1,0)</f>
        <v>0</v>
      </c>
      <c r="BS13" s="53" cm="1">
        <f t="array" ref="BS13">ROUND(INDEX($D$4:$D$33,$AS13)*INDEX($AK$4:$AK$33,BS$3)*$AV$1,0)</f>
        <v>0</v>
      </c>
      <c r="BT13" s="53" cm="1">
        <f t="array" ref="BT13">ROUND(INDEX($D$4:$D$33,$AS13)*INDEX($AK$4:$AK$33,BT$3)*$AV$1,0)</f>
        <v>0</v>
      </c>
      <c r="BU13" s="53" cm="1">
        <f t="array" ref="BU13">ROUND(INDEX($D$4:$D$33,$AS13)*INDEX($AK$4:$AK$33,BU$3)*$AV$1,0)</f>
        <v>0</v>
      </c>
      <c r="BV13" s="53" cm="1">
        <f t="array" ref="BV13">ROUND(INDEX($D$4:$D$33,$AS13)*INDEX($AK$4:$AK$33,BV$3)*$AV$1,0)</f>
        <v>0</v>
      </c>
      <c r="BW13" s="53" cm="1">
        <f t="array" ref="BW13">ROUND(INDEX($D$4:$D$33,$AS13)*INDEX($AK$4:$AK$33,BW$3)*$AV$1,0)</f>
        <v>0</v>
      </c>
      <c r="BX13" s="38">
        <f t="shared" si="3"/>
        <v>0</v>
      </c>
      <c r="BZ13">
        <f>BX13+BC34</f>
        <v>0</v>
      </c>
      <c r="CA13" s="39">
        <v>10</v>
      </c>
      <c r="CD13">
        <v>0.63496901828990904</v>
      </c>
      <c r="CN13" s="2"/>
    </row>
    <row r="14" spans="1:122" x14ac:dyDescent="0.25">
      <c r="A14" s="1"/>
      <c r="B14" s="10">
        <v>11</v>
      </c>
      <c r="C14" s="4">
        <v>0.32251470267313498</v>
      </c>
      <c r="D14" s="45">
        <v>0</v>
      </c>
      <c r="E14" s="1"/>
      <c r="F14" s="13">
        <v>-8.3762498111901798E-3</v>
      </c>
      <c r="G14" s="5">
        <v>0.55826105369667101</v>
      </c>
      <c r="H14" s="5">
        <v>-0.99248249543529199</v>
      </c>
      <c r="I14" s="5">
        <v>1.0904336470289999</v>
      </c>
      <c r="J14" s="5">
        <v>-1.25504862213548</v>
      </c>
      <c r="K14" s="5">
        <v>0.145421132931463</v>
      </c>
      <c r="L14" s="5">
        <v>-0.24480737429280999</v>
      </c>
      <c r="M14" s="5">
        <v>-0.819524628358967</v>
      </c>
      <c r="N14" s="5">
        <v>0.237465079459932</v>
      </c>
      <c r="O14" s="5">
        <v>0.23493132107367501</v>
      </c>
      <c r="P14" s="13">
        <v>0</v>
      </c>
      <c r="Q14" s="5">
        <v>0.48364971768857101</v>
      </c>
      <c r="R14" s="5">
        <v>-0.36140205522229402</v>
      </c>
      <c r="S14" s="5">
        <v>7.0959183281156801E-2</v>
      </c>
      <c r="T14" s="5">
        <v>-0.35866244479120901</v>
      </c>
      <c r="U14" s="5">
        <v>-1.7364333381667201</v>
      </c>
      <c r="V14" s="5">
        <v>-0.61075239316252805</v>
      </c>
      <c r="W14" s="5">
        <v>-0.68624346210708898</v>
      </c>
      <c r="X14" s="5">
        <v>3.6094076136446997E-4</v>
      </c>
      <c r="Y14" s="5">
        <v>-0.29112360880141303</v>
      </c>
      <c r="Z14" s="5">
        <v>-0.67262038522089296</v>
      </c>
      <c r="AA14" s="5">
        <v>-0.21852333910169</v>
      </c>
      <c r="AB14" s="5">
        <v>0.31537289734470197</v>
      </c>
      <c r="AC14" s="5">
        <v>-1.33773665603104E-2</v>
      </c>
      <c r="AD14" s="5">
        <v>1.73352545860914</v>
      </c>
      <c r="AE14" s="5">
        <v>1.8760972464160099</v>
      </c>
      <c r="AF14" s="5">
        <v>1.6156371964724101</v>
      </c>
      <c r="AG14" s="5">
        <v>0.316558278001284</v>
      </c>
      <c r="AH14" s="5">
        <v>0.87214633088606897</v>
      </c>
      <c r="AI14" s="5">
        <v>0.71645601441023699</v>
      </c>
      <c r="AJ14" s="1"/>
      <c r="AK14" s="26">
        <v>0.18307563750635308</v>
      </c>
      <c r="AL14" s="15">
        <f t="shared" si="0"/>
        <v>5.9044584797056106E-2</v>
      </c>
      <c r="AM14" s="37">
        <f t="shared" si="1"/>
        <v>9.1537818753176534</v>
      </c>
      <c r="AN14" s="1"/>
      <c r="AO14" s="48">
        <v>0.2</v>
      </c>
      <c r="AP14" s="48">
        <v>0.2</v>
      </c>
      <c r="AQ14" s="47">
        <f t="shared" si="2"/>
        <v>9.1537818753176542E-2</v>
      </c>
      <c r="AR14" s="36"/>
      <c r="AS14" s="40">
        <v>11</v>
      </c>
      <c r="AT14" s="53" cm="1">
        <f t="array" ref="AT14">ROUND(INDEX($D$4:$D$33,$AS14)*INDEX($AK$4:$AK$33,AT$3)*$AV$1,0)</f>
        <v>0</v>
      </c>
      <c r="AU14" s="53" cm="1">
        <f t="array" ref="AU14">ROUND(INDEX($D$4:$D$33,$AS14)*INDEX($AK$4:$AK$33,AU$3)*$AV$1,0)</f>
        <v>0</v>
      </c>
      <c r="AV14" s="53" cm="1">
        <f t="array" ref="AV14">ROUND(INDEX($D$4:$D$33,$AS14)*INDEX($AK$4:$AK$33,AV$3)*$AV$1,0)</f>
        <v>0</v>
      </c>
      <c r="AW14" s="53" cm="1">
        <f t="array" ref="AW14">ROUND(INDEX($D$4:$D$33,$AS14)*INDEX($AK$4:$AK$33,AW$3)*$AV$1,0)</f>
        <v>0</v>
      </c>
      <c r="AX14" s="53" cm="1">
        <f t="array" ref="AX14">ROUND(INDEX($D$4:$D$33,$AS14)*INDEX($AK$4:$AK$33,AX$3)*$AV$1,0)</f>
        <v>0</v>
      </c>
      <c r="AY14" s="53" cm="1">
        <f t="array" ref="AY14">ROUND(INDEX($D$4:$D$33,$AS14)*INDEX($AK$4:$AK$33,AY$3)*$AV$1,0)</f>
        <v>0</v>
      </c>
      <c r="AZ14" s="53" cm="1">
        <f t="array" ref="AZ14">ROUND(INDEX($D$4:$D$33,$AS14)*INDEX($AK$4:$AK$33,AZ$3)*$AV$1,0)</f>
        <v>0</v>
      </c>
      <c r="BA14" s="53" cm="1">
        <f t="array" ref="BA14">ROUND(INDEX($D$4:$D$33,$AS14)*INDEX($AK$4:$AK$33,BA$3)*$AV$1,0)</f>
        <v>0</v>
      </c>
      <c r="BB14" s="53" cm="1">
        <f t="array" ref="BB14">ROUND(INDEX($D$4:$D$33,$AS14)*INDEX($AK$4:$AK$33,BB$3)*$AV$1,0)</f>
        <v>0</v>
      </c>
      <c r="BC14" s="53" cm="1">
        <f t="array" ref="BC14">ROUND(INDEX($D$4:$D$33,$AS14)*INDEX($AK$4:$AK$33,BC$3)*$AV$1,0)</f>
        <v>0</v>
      </c>
      <c r="BD14" s="52" cm="1">
        <f t="array" ref="BD14">ROUND(INDEX($D$4:$D$33,$AS14)*INDEX($AK$4:$AK$33,BD$3)*$AV$1,0)</f>
        <v>0</v>
      </c>
      <c r="BE14" s="53" cm="1">
        <f t="array" ref="BE14">ROUND(INDEX($D$4:$D$33,$AS14)*INDEX($AK$4:$AK$33,BE$3)*$AV$1,0)</f>
        <v>0</v>
      </c>
      <c r="BF14" s="53" cm="1">
        <f t="array" ref="BF14">ROUND(INDEX($D$4:$D$33,$AS14)*INDEX($AK$4:$AK$33,BF$3)*$AV$1,0)</f>
        <v>0</v>
      </c>
      <c r="BG14" s="53" cm="1">
        <f t="array" ref="BG14">ROUND(INDEX($D$4:$D$33,$AS14)*INDEX($AK$4:$AK$33,BG$3)*$AV$1,0)</f>
        <v>0</v>
      </c>
      <c r="BH14" s="53" cm="1">
        <f t="array" ref="BH14">ROUND(INDEX($D$4:$D$33,$AS14)*INDEX($AK$4:$AK$33,BH$3)*$AV$1,0)</f>
        <v>0</v>
      </c>
      <c r="BI14" s="53" cm="1">
        <f t="array" ref="BI14">ROUND(INDEX($D$4:$D$33,$AS14)*INDEX($AK$4:$AK$33,BI$3)*$AV$1,0)</f>
        <v>0</v>
      </c>
      <c r="BJ14" s="53" cm="1">
        <f t="array" ref="BJ14">ROUND(INDEX($D$4:$D$33,$AS14)*INDEX($AK$4:$AK$33,BJ$3)*$AV$1,0)</f>
        <v>0</v>
      </c>
      <c r="BK14" s="53" cm="1">
        <f t="array" ref="BK14">ROUND(INDEX($D$4:$D$33,$AS14)*INDEX($AK$4:$AK$33,BK$3)*$AV$1,0)</f>
        <v>0</v>
      </c>
      <c r="BL14" s="53" cm="1">
        <f t="array" ref="BL14">ROUND(INDEX($D$4:$D$33,$AS14)*INDEX($AK$4:$AK$33,BL$3)*$AV$1,0)</f>
        <v>0</v>
      </c>
      <c r="BM14" s="53" cm="1">
        <f t="array" ref="BM14">ROUND(INDEX($D$4:$D$33,$AS14)*INDEX($AK$4:$AK$33,BM$3)*$AV$1,0)</f>
        <v>0</v>
      </c>
      <c r="BN14" s="53" cm="1">
        <f t="array" ref="BN14">ROUND(INDEX($D$4:$D$33,$AS14)*INDEX($AK$4:$AK$33,BN$3)*$AV$1,0)</f>
        <v>0</v>
      </c>
      <c r="BO14" s="53" cm="1">
        <f t="array" ref="BO14">ROUND(INDEX($D$4:$D$33,$AS14)*INDEX($AK$4:$AK$33,BO$3)*$AV$1,0)</f>
        <v>0</v>
      </c>
      <c r="BP14" s="53" cm="1">
        <f t="array" ref="BP14">ROUND(INDEX($D$4:$D$33,$AS14)*INDEX($AK$4:$AK$33,BP$3)*$AV$1,0)</f>
        <v>0</v>
      </c>
      <c r="BQ14" s="53" cm="1">
        <f t="array" ref="BQ14">ROUND(INDEX($D$4:$D$33,$AS14)*INDEX($AK$4:$AK$33,BQ$3)*$AV$1,0)</f>
        <v>0</v>
      </c>
      <c r="BR14" s="53" cm="1">
        <f t="array" ref="BR14">ROUND(INDEX($D$4:$D$33,$AS14)*INDEX($AK$4:$AK$33,BR$3)*$AV$1,0)</f>
        <v>0</v>
      </c>
      <c r="BS14" s="53" cm="1">
        <f t="array" ref="BS14">ROUND(INDEX($D$4:$D$33,$AS14)*INDEX($AK$4:$AK$33,BS$3)*$AV$1,0)</f>
        <v>0</v>
      </c>
      <c r="BT14" s="53" cm="1">
        <f t="array" ref="BT14">ROUND(INDEX($D$4:$D$33,$AS14)*INDEX($AK$4:$AK$33,BT$3)*$AV$1,0)</f>
        <v>0</v>
      </c>
      <c r="BU14" s="53" cm="1">
        <f t="array" ref="BU14">ROUND(INDEX($D$4:$D$33,$AS14)*INDEX($AK$4:$AK$33,BU$3)*$AV$1,0)</f>
        <v>0</v>
      </c>
      <c r="BV14" s="53" cm="1">
        <f t="array" ref="BV14">ROUND(INDEX($D$4:$D$33,$AS14)*INDEX($AK$4:$AK$33,BV$3)*$AV$1,0)</f>
        <v>0</v>
      </c>
      <c r="BW14" s="53" cm="1">
        <f t="array" ref="BW14">ROUND(INDEX($D$4:$D$33,$AS14)*INDEX($AK$4:$AK$33,BW$3)*$AV$1,0)</f>
        <v>0</v>
      </c>
      <c r="BX14" s="38">
        <f t="shared" si="3"/>
        <v>0</v>
      </c>
      <c r="BZ14">
        <f>BX14+BD34</f>
        <v>916</v>
      </c>
      <c r="CA14" s="39">
        <v>11</v>
      </c>
      <c r="CD14">
        <v>-0.20707581177443199</v>
      </c>
      <c r="CN14" s="2"/>
    </row>
    <row r="15" spans="1:122" x14ac:dyDescent="0.25">
      <c r="A15" s="1"/>
      <c r="B15" s="10">
        <v>12</v>
      </c>
      <c r="C15" s="4">
        <v>0.42100444798250602</v>
      </c>
      <c r="D15" s="45">
        <v>0</v>
      </c>
      <c r="E15" s="1"/>
      <c r="F15" s="13">
        <v>-1.59175273253584</v>
      </c>
      <c r="G15" s="5">
        <v>0.25207588096982297</v>
      </c>
      <c r="H15" s="5">
        <v>-0.60121156298853395</v>
      </c>
      <c r="I15" s="5">
        <v>-0.211814570997991</v>
      </c>
      <c r="J15" s="5">
        <v>-0.44848148123819398</v>
      </c>
      <c r="K15" s="5">
        <v>1.1486789592064599</v>
      </c>
      <c r="L15" s="5">
        <v>0.87756910634125296</v>
      </c>
      <c r="M15" s="5">
        <v>0.39264263703815899</v>
      </c>
      <c r="N15" s="5">
        <v>0.497391365936733</v>
      </c>
      <c r="O15" s="5">
        <v>0.323970403960055</v>
      </c>
      <c r="P15" s="5">
        <v>0.48364971768857101</v>
      </c>
      <c r="Q15" s="13">
        <v>0</v>
      </c>
      <c r="R15" s="5">
        <v>-1.13620424100854</v>
      </c>
      <c r="S15" s="5">
        <v>0.61967769802916295</v>
      </c>
      <c r="T15" s="5">
        <v>-1.0486957154844101</v>
      </c>
      <c r="U15" s="5">
        <v>-6.4391555010141197E-2</v>
      </c>
      <c r="V15" s="5">
        <v>-0.75722338438841197</v>
      </c>
      <c r="W15" s="5">
        <v>-0.320680559270692</v>
      </c>
      <c r="X15" s="5">
        <v>7.5558207879776296E-2</v>
      </c>
      <c r="Y15" s="5">
        <v>-0.326022257266115</v>
      </c>
      <c r="Z15" s="5">
        <v>0.63076753069080904</v>
      </c>
      <c r="AA15" s="5">
        <v>-0.25993534064974699</v>
      </c>
      <c r="AB15" s="5">
        <v>1.07242261706188</v>
      </c>
      <c r="AC15" s="5">
        <v>0.115432832862902</v>
      </c>
      <c r="AD15" s="5">
        <v>-1.03423417994375</v>
      </c>
      <c r="AE15" s="5">
        <v>0.23526430316235999</v>
      </c>
      <c r="AF15" s="5">
        <v>4.7254095061737299E-2</v>
      </c>
      <c r="AG15" s="5">
        <v>0.22304993612130999</v>
      </c>
      <c r="AH15" s="5">
        <v>-0.53573559091358103</v>
      </c>
      <c r="AI15" s="5">
        <v>-0.61484171393075204</v>
      </c>
      <c r="AJ15" s="1"/>
      <c r="AK15" s="26">
        <v>6.0602861578792189E-2</v>
      </c>
      <c r="AL15" s="15">
        <f t="shared" si="0"/>
        <v>2.5514074285139628E-2</v>
      </c>
      <c r="AM15" s="37">
        <f t="shared" si="1"/>
        <v>3.0301430789396093</v>
      </c>
      <c r="AN15" s="1"/>
      <c r="AO15" s="48">
        <v>0.2</v>
      </c>
      <c r="AP15" s="48">
        <v>0.2</v>
      </c>
      <c r="AQ15" s="47">
        <f t="shared" si="2"/>
        <v>3.0301430789396094E-2</v>
      </c>
      <c r="AR15" s="36"/>
      <c r="AS15" s="40">
        <v>12</v>
      </c>
      <c r="AT15" s="53" cm="1">
        <f t="array" ref="AT15">ROUND(INDEX($D$4:$D$33,$AS15)*INDEX($AK$4:$AK$33,AT$3)*$AV$1,0)</f>
        <v>0</v>
      </c>
      <c r="AU15" s="53" cm="1">
        <f t="array" ref="AU15">ROUND(INDEX($D$4:$D$33,$AS15)*INDEX($AK$4:$AK$33,AU$3)*$AV$1,0)</f>
        <v>0</v>
      </c>
      <c r="AV15" s="53" cm="1">
        <f t="array" ref="AV15">ROUND(INDEX($D$4:$D$33,$AS15)*INDEX($AK$4:$AK$33,AV$3)*$AV$1,0)</f>
        <v>0</v>
      </c>
      <c r="AW15" s="53" cm="1">
        <f t="array" ref="AW15">ROUND(INDEX($D$4:$D$33,$AS15)*INDEX($AK$4:$AK$33,AW$3)*$AV$1,0)</f>
        <v>0</v>
      </c>
      <c r="AX15" s="53" cm="1">
        <f t="array" ref="AX15">ROUND(INDEX($D$4:$D$33,$AS15)*INDEX($AK$4:$AK$33,AX$3)*$AV$1,0)</f>
        <v>0</v>
      </c>
      <c r="AY15" s="53" cm="1">
        <f t="array" ref="AY15">ROUND(INDEX($D$4:$D$33,$AS15)*INDEX($AK$4:$AK$33,AY$3)*$AV$1,0)</f>
        <v>0</v>
      </c>
      <c r="AZ15" s="53" cm="1">
        <f t="array" ref="AZ15">ROUND(INDEX($D$4:$D$33,$AS15)*INDEX($AK$4:$AK$33,AZ$3)*$AV$1,0)</f>
        <v>0</v>
      </c>
      <c r="BA15" s="53" cm="1">
        <f t="array" ref="BA15">ROUND(INDEX($D$4:$D$33,$AS15)*INDEX($AK$4:$AK$33,BA$3)*$AV$1,0)</f>
        <v>0</v>
      </c>
      <c r="BB15" s="53" cm="1">
        <f t="array" ref="BB15">ROUND(INDEX($D$4:$D$33,$AS15)*INDEX($AK$4:$AK$33,BB$3)*$AV$1,0)</f>
        <v>0</v>
      </c>
      <c r="BC15" s="53" cm="1">
        <f t="array" ref="BC15">ROUND(INDEX($D$4:$D$33,$AS15)*INDEX($AK$4:$AK$33,BC$3)*$AV$1,0)</f>
        <v>0</v>
      </c>
      <c r="BD15" s="53" cm="1">
        <f t="array" ref="BD15">ROUND(INDEX($D$4:$D$33,$AS15)*INDEX($AK$4:$AK$33,BD$3)*$AV$1,0)</f>
        <v>0</v>
      </c>
      <c r="BE15" s="52" cm="1">
        <f t="array" ref="BE15">ROUND(INDEX($D$4:$D$33,$AS15)*INDEX($AK$4:$AK$33,BE$3)*$AV$1,0)</f>
        <v>0</v>
      </c>
      <c r="BF15" s="53" cm="1">
        <f t="array" ref="BF15">ROUND(INDEX($D$4:$D$33,$AS15)*INDEX($AK$4:$AK$33,BF$3)*$AV$1,0)</f>
        <v>0</v>
      </c>
      <c r="BG15" s="53" cm="1">
        <f t="array" ref="BG15">ROUND(INDEX($D$4:$D$33,$AS15)*INDEX($AK$4:$AK$33,BG$3)*$AV$1,0)</f>
        <v>0</v>
      </c>
      <c r="BH15" s="53" cm="1">
        <f t="array" ref="BH15">ROUND(INDEX($D$4:$D$33,$AS15)*INDEX($AK$4:$AK$33,BH$3)*$AV$1,0)</f>
        <v>0</v>
      </c>
      <c r="BI15" s="53" cm="1">
        <f t="array" ref="BI15">ROUND(INDEX($D$4:$D$33,$AS15)*INDEX($AK$4:$AK$33,BI$3)*$AV$1,0)</f>
        <v>0</v>
      </c>
      <c r="BJ15" s="53" cm="1">
        <f t="array" ref="BJ15">ROUND(INDEX($D$4:$D$33,$AS15)*INDEX($AK$4:$AK$33,BJ$3)*$AV$1,0)</f>
        <v>0</v>
      </c>
      <c r="BK15" s="53" cm="1">
        <f t="array" ref="BK15">ROUND(INDEX($D$4:$D$33,$AS15)*INDEX($AK$4:$AK$33,BK$3)*$AV$1,0)</f>
        <v>0</v>
      </c>
      <c r="BL15" s="53" cm="1">
        <f t="array" ref="BL15">ROUND(INDEX($D$4:$D$33,$AS15)*INDEX($AK$4:$AK$33,BL$3)*$AV$1,0)</f>
        <v>0</v>
      </c>
      <c r="BM15" s="53" cm="1">
        <f t="array" ref="BM15">ROUND(INDEX($D$4:$D$33,$AS15)*INDEX($AK$4:$AK$33,BM$3)*$AV$1,0)</f>
        <v>0</v>
      </c>
      <c r="BN15" s="53" cm="1">
        <f t="array" ref="BN15">ROUND(INDEX($D$4:$D$33,$AS15)*INDEX($AK$4:$AK$33,BN$3)*$AV$1,0)</f>
        <v>0</v>
      </c>
      <c r="BO15" s="53" cm="1">
        <f t="array" ref="BO15">ROUND(INDEX($D$4:$D$33,$AS15)*INDEX($AK$4:$AK$33,BO$3)*$AV$1,0)</f>
        <v>0</v>
      </c>
      <c r="BP15" s="53" cm="1">
        <f t="array" ref="BP15">ROUND(INDEX($D$4:$D$33,$AS15)*INDEX($AK$4:$AK$33,BP$3)*$AV$1,0)</f>
        <v>0</v>
      </c>
      <c r="BQ15" s="53" cm="1">
        <f t="array" ref="BQ15">ROUND(INDEX($D$4:$D$33,$AS15)*INDEX($AK$4:$AK$33,BQ$3)*$AV$1,0)</f>
        <v>0</v>
      </c>
      <c r="BR15" s="53" cm="1">
        <f t="array" ref="BR15">ROUND(INDEX($D$4:$D$33,$AS15)*INDEX($AK$4:$AK$33,BR$3)*$AV$1,0)</f>
        <v>0</v>
      </c>
      <c r="BS15" s="53" cm="1">
        <f t="array" ref="BS15">ROUND(INDEX($D$4:$D$33,$AS15)*INDEX($AK$4:$AK$33,BS$3)*$AV$1,0)</f>
        <v>0</v>
      </c>
      <c r="BT15" s="53" cm="1">
        <f t="array" ref="BT15">ROUND(INDEX($D$4:$D$33,$AS15)*INDEX($AK$4:$AK$33,BT$3)*$AV$1,0)</f>
        <v>0</v>
      </c>
      <c r="BU15" s="53" cm="1">
        <f t="array" ref="BU15">ROUND(INDEX($D$4:$D$33,$AS15)*INDEX($AK$4:$AK$33,BU$3)*$AV$1,0)</f>
        <v>0</v>
      </c>
      <c r="BV15" s="53" cm="1">
        <f t="array" ref="BV15">ROUND(INDEX($D$4:$D$33,$AS15)*INDEX($AK$4:$AK$33,BV$3)*$AV$1,0)</f>
        <v>0</v>
      </c>
      <c r="BW15" s="53" cm="1">
        <f t="array" ref="BW15">ROUND(INDEX($D$4:$D$33,$AS15)*INDEX($AK$4:$AK$33,BW$3)*$AV$1,0)</f>
        <v>0</v>
      </c>
      <c r="BX15" s="38">
        <f t="shared" si="3"/>
        <v>0</v>
      </c>
      <c r="BZ15">
        <f>BX15+BE34</f>
        <v>304</v>
      </c>
      <c r="CA15" s="39">
        <v>12</v>
      </c>
      <c r="CD15">
        <v>-0.61269409169411204</v>
      </c>
      <c r="CN15" s="2"/>
    </row>
    <row r="16" spans="1:122" x14ac:dyDescent="0.25">
      <c r="A16" s="1"/>
      <c r="B16" s="10">
        <v>13</v>
      </c>
      <c r="C16" s="4">
        <v>-0.82070113733809802</v>
      </c>
      <c r="D16" s="45">
        <v>0</v>
      </c>
      <c r="E16" s="1"/>
      <c r="F16" s="13">
        <v>0.48265320860602501</v>
      </c>
      <c r="G16" s="5">
        <v>-0.76817790759372895</v>
      </c>
      <c r="H16" s="5">
        <v>0.210358878174745</v>
      </c>
      <c r="I16" s="5">
        <v>-0.101334239327442</v>
      </c>
      <c r="J16" s="5">
        <v>0.98425987223348099</v>
      </c>
      <c r="K16" s="5">
        <v>0.21690314779181899</v>
      </c>
      <c r="L16" s="5">
        <v>-0.37984659182723302</v>
      </c>
      <c r="M16" s="5">
        <v>-0.161879541210631</v>
      </c>
      <c r="N16" s="5">
        <v>-0.37916508271968302</v>
      </c>
      <c r="O16" s="5">
        <v>1.01754169978609</v>
      </c>
      <c r="P16" s="5">
        <v>-0.36140205522229402</v>
      </c>
      <c r="Q16" s="5">
        <v>-1.13620424100854</v>
      </c>
      <c r="R16" s="13">
        <v>0</v>
      </c>
      <c r="S16" s="5">
        <v>0.49546562574534803</v>
      </c>
      <c r="T16" s="5">
        <v>-7.5298324920621995E-2</v>
      </c>
      <c r="U16" s="5">
        <v>-1.74514281011281E-2</v>
      </c>
      <c r="V16" s="5">
        <v>-0.25119034927516298</v>
      </c>
      <c r="W16" s="5">
        <v>-0.92115331084122098</v>
      </c>
      <c r="X16" s="5">
        <v>-0.22094579075656001</v>
      </c>
      <c r="Y16" s="5">
        <v>-0.93977928822118595</v>
      </c>
      <c r="Z16" s="5">
        <v>-9.1727009021761105E-2</v>
      </c>
      <c r="AA16" s="5">
        <v>0.258541831619507</v>
      </c>
      <c r="AB16" s="5">
        <v>0.66309382271782602</v>
      </c>
      <c r="AC16" s="5">
        <v>-0.509930535091492</v>
      </c>
      <c r="AD16" s="5">
        <v>-0.44939574390970899</v>
      </c>
      <c r="AE16" s="5">
        <v>9.95400073805663E-2</v>
      </c>
      <c r="AF16" s="5">
        <v>1.05683433101985</v>
      </c>
      <c r="AG16" s="5">
        <v>0.66863418435712596</v>
      </c>
      <c r="AH16" s="5">
        <v>0.522253613866274</v>
      </c>
      <c r="AI16" s="5">
        <v>-0.56192395395350403</v>
      </c>
      <c r="AJ16" s="1"/>
      <c r="AK16" s="26">
        <v>0</v>
      </c>
      <c r="AL16" s="15">
        <f t="shared" si="0"/>
        <v>0</v>
      </c>
      <c r="AM16" s="37">
        <f t="shared" si="1"/>
        <v>0</v>
      </c>
      <c r="AN16" s="1"/>
      <c r="AO16" s="48">
        <v>0.2</v>
      </c>
      <c r="AP16" s="48">
        <v>0.2</v>
      </c>
      <c r="AQ16" s="47">
        <f t="shared" si="2"/>
        <v>0</v>
      </c>
      <c r="AR16" s="36"/>
      <c r="AS16" s="40">
        <v>13</v>
      </c>
      <c r="AT16" s="53" cm="1">
        <f t="array" ref="AT16">ROUND(INDEX($D$4:$D$33,$AS16)*INDEX($AK$4:$AK$33,AT$3)*$AV$1,0)</f>
        <v>0</v>
      </c>
      <c r="AU16" s="53" cm="1">
        <f t="array" ref="AU16">ROUND(INDEX($D$4:$D$33,$AS16)*INDEX($AK$4:$AK$33,AU$3)*$AV$1,0)</f>
        <v>0</v>
      </c>
      <c r="AV16" s="53" cm="1">
        <f t="array" ref="AV16">ROUND(INDEX($D$4:$D$33,$AS16)*INDEX($AK$4:$AK$33,AV$3)*$AV$1,0)</f>
        <v>0</v>
      </c>
      <c r="AW16" s="53" cm="1">
        <f t="array" ref="AW16">ROUND(INDEX($D$4:$D$33,$AS16)*INDEX($AK$4:$AK$33,AW$3)*$AV$1,0)</f>
        <v>0</v>
      </c>
      <c r="AX16" s="53" cm="1">
        <f t="array" ref="AX16">ROUND(INDEX($D$4:$D$33,$AS16)*INDEX($AK$4:$AK$33,AX$3)*$AV$1,0)</f>
        <v>0</v>
      </c>
      <c r="AY16" s="53" cm="1">
        <f t="array" ref="AY16">ROUND(INDEX($D$4:$D$33,$AS16)*INDEX($AK$4:$AK$33,AY$3)*$AV$1,0)</f>
        <v>0</v>
      </c>
      <c r="AZ16" s="53" cm="1">
        <f t="array" ref="AZ16">ROUND(INDEX($D$4:$D$33,$AS16)*INDEX($AK$4:$AK$33,AZ$3)*$AV$1,0)</f>
        <v>0</v>
      </c>
      <c r="BA16" s="53" cm="1">
        <f t="array" ref="BA16">ROUND(INDEX($D$4:$D$33,$AS16)*INDEX($AK$4:$AK$33,BA$3)*$AV$1,0)</f>
        <v>0</v>
      </c>
      <c r="BB16" s="53" cm="1">
        <f t="array" ref="BB16">ROUND(INDEX($D$4:$D$33,$AS16)*INDEX($AK$4:$AK$33,BB$3)*$AV$1,0)</f>
        <v>0</v>
      </c>
      <c r="BC16" s="53" cm="1">
        <f t="array" ref="BC16">ROUND(INDEX($D$4:$D$33,$AS16)*INDEX($AK$4:$AK$33,BC$3)*$AV$1,0)</f>
        <v>0</v>
      </c>
      <c r="BD16" s="53" cm="1">
        <f t="array" ref="BD16">ROUND(INDEX($D$4:$D$33,$AS16)*INDEX($AK$4:$AK$33,BD$3)*$AV$1,0)</f>
        <v>0</v>
      </c>
      <c r="BE16" s="53" cm="1">
        <f t="array" ref="BE16">ROUND(INDEX($D$4:$D$33,$AS16)*INDEX($AK$4:$AK$33,BE$3)*$AV$1,0)</f>
        <v>0</v>
      </c>
      <c r="BF16" s="52" cm="1">
        <f t="array" ref="BF16">ROUND(INDEX($D$4:$D$33,$AS16)*INDEX($AK$4:$AK$33,BF$3)*$AV$1,0)</f>
        <v>0</v>
      </c>
      <c r="BG16" s="53" cm="1">
        <f t="array" ref="BG16">ROUND(INDEX($D$4:$D$33,$AS16)*INDEX($AK$4:$AK$33,BG$3)*$AV$1,0)</f>
        <v>0</v>
      </c>
      <c r="BH16" s="53" cm="1">
        <f t="array" ref="BH16">ROUND(INDEX($D$4:$D$33,$AS16)*INDEX($AK$4:$AK$33,BH$3)*$AV$1,0)</f>
        <v>0</v>
      </c>
      <c r="BI16" s="53" cm="1">
        <f t="array" ref="BI16">ROUND(INDEX($D$4:$D$33,$AS16)*INDEX($AK$4:$AK$33,BI$3)*$AV$1,0)</f>
        <v>0</v>
      </c>
      <c r="BJ16" s="53" cm="1">
        <f t="array" ref="BJ16">ROUND(INDEX($D$4:$D$33,$AS16)*INDEX($AK$4:$AK$33,BJ$3)*$AV$1,0)</f>
        <v>0</v>
      </c>
      <c r="BK16" s="53" cm="1">
        <f t="array" ref="BK16">ROUND(INDEX($D$4:$D$33,$AS16)*INDEX($AK$4:$AK$33,BK$3)*$AV$1,0)</f>
        <v>0</v>
      </c>
      <c r="BL16" s="53" cm="1">
        <f t="array" ref="BL16">ROUND(INDEX($D$4:$D$33,$AS16)*INDEX($AK$4:$AK$33,BL$3)*$AV$1,0)</f>
        <v>0</v>
      </c>
      <c r="BM16" s="53" cm="1">
        <f t="array" ref="BM16">ROUND(INDEX($D$4:$D$33,$AS16)*INDEX($AK$4:$AK$33,BM$3)*$AV$1,0)</f>
        <v>0</v>
      </c>
      <c r="BN16" s="53" cm="1">
        <f t="array" ref="BN16">ROUND(INDEX($D$4:$D$33,$AS16)*INDEX($AK$4:$AK$33,BN$3)*$AV$1,0)</f>
        <v>0</v>
      </c>
      <c r="BO16" s="53" cm="1">
        <f t="array" ref="BO16">ROUND(INDEX($D$4:$D$33,$AS16)*INDEX($AK$4:$AK$33,BO$3)*$AV$1,0)</f>
        <v>0</v>
      </c>
      <c r="BP16" s="53" cm="1">
        <f t="array" ref="BP16">ROUND(INDEX($D$4:$D$33,$AS16)*INDEX($AK$4:$AK$33,BP$3)*$AV$1,0)</f>
        <v>0</v>
      </c>
      <c r="BQ16" s="53" cm="1">
        <f t="array" ref="BQ16">ROUND(INDEX($D$4:$D$33,$AS16)*INDEX($AK$4:$AK$33,BQ$3)*$AV$1,0)</f>
        <v>0</v>
      </c>
      <c r="BR16" s="53" cm="1">
        <f t="array" ref="BR16">ROUND(INDEX($D$4:$D$33,$AS16)*INDEX($AK$4:$AK$33,BR$3)*$AV$1,0)</f>
        <v>0</v>
      </c>
      <c r="BS16" s="53" cm="1">
        <f t="array" ref="BS16">ROUND(INDEX($D$4:$D$33,$AS16)*INDEX($AK$4:$AK$33,BS$3)*$AV$1,0)</f>
        <v>0</v>
      </c>
      <c r="BT16" s="53" cm="1">
        <f t="array" ref="BT16">ROUND(INDEX($D$4:$D$33,$AS16)*INDEX($AK$4:$AK$33,BT$3)*$AV$1,0)</f>
        <v>0</v>
      </c>
      <c r="BU16" s="53" cm="1">
        <f t="array" ref="BU16">ROUND(INDEX($D$4:$D$33,$AS16)*INDEX($AK$4:$AK$33,BU$3)*$AV$1,0)</f>
        <v>0</v>
      </c>
      <c r="BV16" s="53" cm="1">
        <f t="array" ref="BV16">ROUND(INDEX($D$4:$D$33,$AS16)*INDEX($AK$4:$AK$33,BV$3)*$AV$1,0)</f>
        <v>0</v>
      </c>
      <c r="BW16" s="53" cm="1">
        <f t="array" ref="BW16">ROUND(INDEX($D$4:$D$33,$AS16)*INDEX($AK$4:$AK$33,BW$3)*$AV$1,0)</f>
        <v>0</v>
      </c>
      <c r="BX16" s="38">
        <f t="shared" si="3"/>
        <v>0</v>
      </c>
      <c r="BZ16">
        <f>BX16+BF34</f>
        <v>0</v>
      </c>
      <c r="CA16" s="39">
        <v>13</v>
      </c>
      <c r="CD16">
        <v>0.64786087361003097</v>
      </c>
      <c r="CN16" s="2"/>
    </row>
    <row r="17" spans="1:92" x14ac:dyDescent="0.25">
      <c r="A17" s="1"/>
      <c r="B17" s="10">
        <v>14</v>
      </c>
      <c r="C17" s="4">
        <v>-0.96645875335736398</v>
      </c>
      <c r="D17" s="45">
        <v>0</v>
      </c>
      <c r="E17" s="1"/>
      <c r="F17" s="13">
        <v>0.42670491961294399</v>
      </c>
      <c r="G17" s="5">
        <v>-0.56065515351138095</v>
      </c>
      <c r="H17" s="5">
        <v>0.65818775705870902</v>
      </c>
      <c r="I17" s="5">
        <v>-0.95486874855735104</v>
      </c>
      <c r="J17" s="5">
        <v>0.56553656234427696</v>
      </c>
      <c r="K17" s="5">
        <v>0.42400768695504598</v>
      </c>
      <c r="L17" s="5">
        <v>0.77812072236795404</v>
      </c>
      <c r="M17" s="5">
        <v>-1.0039090708590599</v>
      </c>
      <c r="N17" s="5">
        <v>-0.14399246269836399</v>
      </c>
      <c r="O17" s="5">
        <v>1.2666451286735299E-2</v>
      </c>
      <c r="P17" s="5">
        <v>7.0959183281156801E-2</v>
      </c>
      <c r="Q17" s="5">
        <v>0.61967769802916295</v>
      </c>
      <c r="R17" s="5">
        <v>0.49546562574534803</v>
      </c>
      <c r="S17" s="13">
        <v>0</v>
      </c>
      <c r="T17" s="5">
        <v>0.173427792720595</v>
      </c>
      <c r="U17" s="5">
        <v>0.141376133798053</v>
      </c>
      <c r="V17" s="5">
        <v>0.67590892727950602</v>
      </c>
      <c r="W17" s="5">
        <v>1.12958881681944E-2</v>
      </c>
      <c r="X17" s="5">
        <v>0.86242043911274302</v>
      </c>
      <c r="Y17" s="5">
        <v>-6.18719720343388E-2</v>
      </c>
      <c r="Z17" s="5">
        <v>-0.71664220904797504</v>
      </c>
      <c r="AA17" s="5">
        <v>0.662869261614079</v>
      </c>
      <c r="AB17" s="5">
        <v>-0.11325211731823299</v>
      </c>
      <c r="AC17" s="5">
        <v>0.29034041954839401</v>
      </c>
      <c r="AD17" s="5">
        <v>-0.27257046546181801</v>
      </c>
      <c r="AE17" s="5">
        <v>1.1156978336523899</v>
      </c>
      <c r="AF17" s="5">
        <v>-0.75834673934236996</v>
      </c>
      <c r="AG17" s="5">
        <v>0.303110589543378</v>
      </c>
      <c r="AH17" s="5">
        <v>-0.78797238578175399</v>
      </c>
      <c r="AI17" s="5">
        <v>0.48684463209365397</v>
      </c>
      <c r="AJ17" s="1"/>
      <c r="AK17" s="26">
        <v>0</v>
      </c>
      <c r="AL17" s="15">
        <f t="shared" si="0"/>
        <v>0</v>
      </c>
      <c r="AM17" s="37">
        <f t="shared" si="1"/>
        <v>0</v>
      </c>
      <c r="AN17" s="1"/>
      <c r="AO17" s="48">
        <v>0.2</v>
      </c>
      <c r="AP17" s="48">
        <v>0.2</v>
      </c>
      <c r="AQ17" s="47">
        <f t="shared" si="2"/>
        <v>0</v>
      </c>
      <c r="AR17" s="36"/>
      <c r="AS17" s="40">
        <v>14</v>
      </c>
      <c r="AT17" s="53" cm="1">
        <f t="array" ref="AT17">ROUND(INDEX($D$4:$D$33,$AS17)*INDEX($AK$4:$AK$33,AT$3)*$AV$1,0)</f>
        <v>0</v>
      </c>
      <c r="AU17" s="53" cm="1">
        <f t="array" ref="AU17">ROUND(INDEX($D$4:$D$33,$AS17)*INDEX($AK$4:$AK$33,AU$3)*$AV$1,0)</f>
        <v>0</v>
      </c>
      <c r="AV17" s="53" cm="1">
        <f t="array" ref="AV17">ROUND(INDEX($D$4:$D$33,$AS17)*INDEX($AK$4:$AK$33,AV$3)*$AV$1,0)</f>
        <v>0</v>
      </c>
      <c r="AW17" s="53" cm="1">
        <f t="array" ref="AW17">ROUND(INDEX($D$4:$D$33,$AS17)*INDEX($AK$4:$AK$33,AW$3)*$AV$1,0)</f>
        <v>0</v>
      </c>
      <c r="AX17" s="53" cm="1">
        <f t="array" ref="AX17">ROUND(INDEX($D$4:$D$33,$AS17)*INDEX($AK$4:$AK$33,AX$3)*$AV$1,0)</f>
        <v>0</v>
      </c>
      <c r="AY17" s="53" cm="1">
        <f t="array" ref="AY17">ROUND(INDEX($D$4:$D$33,$AS17)*INDEX($AK$4:$AK$33,AY$3)*$AV$1,0)</f>
        <v>0</v>
      </c>
      <c r="AZ17" s="53" cm="1">
        <f t="array" ref="AZ17">ROUND(INDEX($D$4:$D$33,$AS17)*INDEX($AK$4:$AK$33,AZ$3)*$AV$1,0)</f>
        <v>0</v>
      </c>
      <c r="BA17" s="53" cm="1">
        <f t="array" ref="BA17">ROUND(INDEX($D$4:$D$33,$AS17)*INDEX($AK$4:$AK$33,BA$3)*$AV$1,0)</f>
        <v>0</v>
      </c>
      <c r="BB17" s="53" cm="1">
        <f t="array" ref="BB17">ROUND(INDEX($D$4:$D$33,$AS17)*INDEX($AK$4:$AK$33,BB$3)*$AV$1,0)</f>
        <v>0</v>
      </c>
      <c r="BC17" s="53" cm="1">
        <f t="array" ref="BC17">ROUND(INDEX($D$4:$D$33,$AS17)*INDEX($AK$4:$AK$33,BC$3)*$AV$1,0)</f>
        <v>0</v>
      </c>
      <c r="BD17" s="53" cm="1">
        <f t="array" ref="BD17">ROUND(INDEX($D$4:$D$33,$AS17)*INDEX($AK$4:$AK$33,BD$3)*$AV$1,0)</f>
        <v>0</v>
      </c>
      <c r="BE17" s="53" cm="1">
        <f t="array" ref="BE17">ROUND(INDEX($D$4:$D$33,$AS17)*INDEX($AK$4:$AK$33,BE$3)*$AV$1,0)</f>
        <v>0</v>
      </c>
      <c r="BF17" s="53" cm="1">
        <f t="array" ref="BF17">ROUND(INDEX($D$4:$D$33,$AS17)*INDEX($AK$4:$AK$33,BF$3)*$AV$1,0)</f>
        <v>0</v>
      </c>
      <c r="BG17" s="52" cm="1">
        <f t="array" ref="BG17">ROUND(INDEX($D$4:$D$33,$AS17)*INDEX($AK$4:$AK$33,BG$3)*$AV$1,0)</f>
        <v>0</v>
      </c>
      <c r="BH17" s="53" cm="1">
        <f t="array" ref="BH17">ROUND(INDEX($D$4:$D$33,$AS17)*INDEX($AK$4:$AK$33,BH$3)*$AV$1,0)</f>
        <v>0</v>
      </c>
      <c r="BI17" s="53" cm="1">
        <f t="array" ref="BI17">ROUND(INDEX($D$4:$D$33,$AS17)*INDEX($AK$4:$AK$33,BI$3)*$AV$1,0)</f>
        <v>0</v>
      </c>
      <c r="BJ17" s="53" cm="1">
        <f t="array" ref="BJ17">ROUND(INDEX($D$4:$D$33,$AS17)*INDEX($AK$4:$AK$33,BJ$3)*$AV$1,0)</f>
        <v>0</v>
      </c>
      <c r="BK17" s="53" cm="1">
        <f t="array" ref="BK17">ROUND(INDEX($D$4:$D$33,$AS17)*INDEX($AK$4:$AK$33,BK$3)*$AV$1,0)</f>
        <v>0</v>
      </c>
      <c r="BL17" s="53" cm="1">
        <f t="array" ref="BL17">ROUND(INDEX($D$4:$D$33,$AS17)*INDEX($AK$4:$AK$33,BL$3)*$AV$1,0)</f>
        <v>0</v>
      </c>
      <c r="BM17" s="53" cm="1">
        <f t="array" ref="BM17">ROUND(INDEX($D$4:$D$33,$AS17)*INDEX($AK$4:$AK$33,BM$3)*$AV$1,0)</f>
        <v>0</v>
      </c>
      <c r="BN17" s="53" cm="1">
        <f t="array" ref="BN17">ROUND(INDEX($D$4:$D$33,$AS17)*INDEX($AK$4:$AK$33,BN$3)*$AV$1,0)</f>
        <v>0</v>
      </c>
      <c r="BO17" s="53" cm="1">
        <f t="array" ref="BO17">ROUND(INDEX($D$4:$D$33,$AS17)*INDEX($AK$4:$AK$33,BO$3)*$AV$1,0)</f>
        <v>0</v>
      </c>
      <c r="BP17" s="53" cm="1">
        <f t="array" ref="BP17">ROUND(INDEX($D$4:$D$33,$AS17)*INDEX($AK$4:$AK$33,BP$3)*$AV$1,0)</f>
        <v>0</v>
      </c>
      <c r="BQ17" s="53" cm="1">
        <f t="array" ref="BQ17">ROUND(INDEX($D$4:$D$33,$AS17)*INDEX($AK$4:$AK$33,BQ$3)*$AV$1,0)</f>
        <v>0</v>
      </c>
      <c r="BR17" s="53" cm="1">
        <f t="array" ref="BR17">ROUND(INDEX($D$4:$D$33,$AS17)*INDEX($AK$4:$AK$33,BR$3)*$AV$1,0)</f>
        <v>0</v>
      </c>
      <c r="BS17" s="53" cm="1">
        <f t="array" ref="BS17">ROUND(INDEX($D$4:$D$33,$AS17)*INDEX($AK$4:$AK$33,BS$3)*$AV$1,0)</f>
        <v>0</v>
      </c>
      <c r="BT17" s="53" cm="1">
        <f t="array" ref="BT17">ROUND(INDEX($D$4:$D$33,$AS17)*INDEX($AK$4:$AK$33,BT$3)*$AV$1,0)</f>
        <v>0</v>
      </c>
      <c r="BU17" s="53" cm="1">
        <f t="array" ref="BU17">ROUND(INDEX($D$4:$D$33,$AS17)*INDEX($AK$4:$AK$33,BU$3)*$AV$1,0)</f>
        <v>0</v>
      </c>
      <c r="BV17" s="53" cm="1">
        <f t="array" ref="BV17">ROUND(INDEX($D$4:$D$33,$AS17)*INDEX($AK$4:$AK$33,BV$3)*$AV$1,0)</f>
        <v>0</v>
      </c>
      <c r="BW17" s="53" cm="1">
        <f t="array" ref="BW17">ROUND(INDEX($D$4:$D$33,$AS17)*INDEX($AK$4:$AK$33,BW$3)*$AV$1,0)</f>
        <v>0</v>
      </c>
      <c r="BX17" s="38">
        <f t="shared" si="3"/>
        <v>0</v>
      </c>
      <c r="BZ17">
        <f>BX17+BG34</f>
        <v>0</v>
      </c>
      <c r="CA17" s="39">
        <v>14</v>
      </c>
      <c r="CD17">
        <v>-1.7737961416533701</v>
      </c>
      <c r="CN17" s="2"/>
    </row>
    <row r="18" spans="1:92" x14ac:dyDescent="0.25">
      <c r="A18" s="1"/>
      <c r="B18" s="10">
        <v>15</v>
      </c>
      <c r="C18" s="4">
        <v>0.60934820070328899</v>
      </c>
      <c r="D18" s="45">
        <v>0</v>
      </c>
      <c r="E18" s="1"/>
      <c r="F18" s="13">
        <v>0.21735478943887299</v>
      </c>
      <c r="G18" s="5">
        <v>0.23868079185138599</v>
      </c>
      <c r="H18" s="5">
        <v>0.75447710896230202</v>
      </c>
      <c r="I18" s="5">
        <v>0.23542520620884799</v>
      </c>
      <c r="J18" s="5">
        <v>-5.1960788144622898E-2</v>
      </c>
      <c r="K18" s="5">
        <v>0.74087596162793001</v>
      </c>
      <c r="L18" s="5">
        <v>1.4558359087831001</v>
      </c>
      <c r="M18" s="5">
        <v>1.8875048975743401E-2</v>
      </c>
      <c r="N18" s="5">
        <v>-0.170076354502077</v>
      </c>
      <c r="O18" s="5">
        <v>0.73431284459444701</v>
      </c>
      <c r="P18" s="5">
        <v>-0.35866244479120901</v>
      </c>
      <c r="Q18" s="5">
        <v>-1.0486957154844101</v>
      </c>
      <c r="R18" s="5">
        <v>-7.5298324920621995E-2</v>
      </c>
      <c r="S18" s="5">
        <v>0.173427792720595</v>
      </c>
      <c r="T18" s="13">
        <v>0</v>
      </c>
      <c r="U18" s="5">
        <v>-0.73419933934531301</v>
      </c>
      <c r="V18" s="5">
        <v>0.112629136288749</v>
      </c>
      <c r="W18" s="5">
        <v>0.78535463616605905</v>
      </c>
      <c r="X18" s="5">
        <v>-0.64315702867429403</v>
      </c>
      <c r="Y18" s="5">
        <v>0.251338266530793</v>
      </c>
      <c r="Z18" s="5">
        <v>0.178393860022203</v>
      </c>
      <c r="AA18" s="5">
        <v>0.68889432807512196</v>
      </c>
      <c r="AB18" s="5">
        <v>-8.0495706772421002E-2</v>
      </c>
      <c r="AC18" s="5">
        <v>-0.85745966903321003</v>
      </c>
      <c r="AD18" s="5">
        <v>-0.66629084509919601</v>
      </c>
      <c r="AE18" s="5">
        <v>6.3319815001052299E-2</v>
      </c>
      <c r="AF18" s="5">
        <v>1.28929935428528</v>
      </c>
      <c r="AG18" s="5">
        <v>-0.93663854109233902</v>
      </c>
      <c r="AH18" s="5">
        <v>-1.2062315970900299</v>
      </c>
      <c r="AI18" s="5">
        <v>1.1212400782956</v>
      </c>
      <c r="AJ18" s="1"/>
      <c r="AK18" s="26">
        <v>0.19514524138115061</v>
      </c>
      <c r="AL18" s="15">
        <f t="shared" si="0"/>
        <v>0.11891140171141314</v>
      </c>
      <c r="AM18" s="37">
        <f t="shared" si="1"/>
        <v>9.7572620690575302</v>
      </c>
      <c r="AN18" s="1"/>
      <c r="AO18" s="48">
        <v>0.2</v>
      </c>
      <c r="AP18" s="48">
        <v>0.2</v>
      </c>
      <c r="AQ18" s="47">
        <f t="shared" si="2"/>
        <v>9.7572620690575304E-2</v>
      </c>
      <c r="AR18" s="36"/>
      <c r="AS18" s="40">
        <v>15</v>
      </c>
      <c r="AT18" s="53" cm="1">
        <f t="array" ref="AT18">ROUND(INDEX($D$4:$D$33,$AS18)*INDEX($AK$4:$AK$33,AT$3)*$AV$1,0)</f>
        <v>0</v>
      </c>
      <c r="AU18" s="53" cm="1">
        <f t="array" ref="AU18">ROUND(INDEX($D$4:$D$33,$AS18)*INDEX($AK$4:$AK$33,AU$3)*$AV$1,0)</f>
        <v>0</v>
      </c>
      <c r="AV18" s="53" cm="1">
        <f t="array" ref="AV18">ROUND(INDEX($D$4:$D$33,$AS18)*INDEX($AK$4:$AK$33,AV$3)*$AV$1,0)</f>
        <v>0</v>
      </c>
      <c r="AW18" s="53" cm="1">
        <f t="array" ref="AW18">ROUND(INDEX($D$4:$D$33,$AS18)*INDEX($AK$4:$AK$33,AW$3)*$AV$1,0)</f>
        <v>0</v>
      </c>
      <c r="AX18" s="53" cm="1">
        <f t="array" ref="AX18">ROUND(INDEX($D$4:$D$33,$AS18)*INDEX($AK$4:$AK$33,AX$3)*$AV$1,0)</f>
        <v>0</v>
      </c>
      <c r="AY18" s="53" cm="1">
        <f t="array" ref="AY18">ROUND(INDEX($D$4:$D$33,$AS18)*INDEX($AK$4:$AK$33,AY$3)*$AV$1,0)</f>
        <v>0</v>
      </c>
      <c r="AZ18" s="53" cm="1">
        <f t="array" ref="AZ18">ROUND(INDEX($D$4:$D$33,$AS18)*INDEX($AK$4:$AK$33,AZ$3)*$AV$1,0)</f>
        <v>0</v>
      </c>
      <c r="BA18" s="53" cm="1">
        <f t="array" ref="BA18">ROUND(INDEX($D$4:$D$33,$AS18)*INDEX($AK$4:$AK$33,BA$3)*$AV$1,0)</f>
        <v>0</v>
      </c>
      <c r="BB18" s="53" cm="1">
        <f t="array" ref="BB18">ROUND(INDEX($D$4:$D$33,$AS18)*INDEX($AK$4:$AK$33,BB$3)*$AV$1,0)</f>
        <v>0</v>
      </c>
      <c r="BC18" s="53" cm="1">
        <f t="array" ref="BC18">ROUND(INDEX($D$4:$D$33,$AS18)*INDEX($AK$4:$AK$33,BC$3)*$AV$1,0)</f>
        <v>0</v>
      </c>
      <c r="BD18" s="53" cm="1">
        <f t="array" ref="BD18">ROUND(INDEX($D$4:$D$33,$AS18)*INDEX($AK$4:$AK$33,BD$3)*$AV$1,0)</f>
        <v>0</v>
      </c>
      <c r="BE18" s="53" cm="1">
        <f t="array" ref="BE18">ROUND(INDEX($D$4:$D$33,$AS18)*INDEX($AK$4:$AK$33,BE$3)*$AV$1,0)</f>
        <v>0</v>
      </c>
      <c r="BF18" s="53" cm="1">
        <f t="array" ref="BF18">ROUND(INDEX($D$4:$D$33,$AS18)*INDEX($AK$4:$AK$33,BF$3)*$AV$1,0)</f>
        <v>0</v>
      </c>
      <c r="BG18" s="53" cm="1">
        <f t="array" ref="BG18">ROUND(INDEX($D$4:$D$33,$AS18)*INDEX($AK$4:$AK$33,BG$3)*$AV$1,0)</f>
        <v>0</v>
      </c>
      <c r="BH18" s="52" cm="1">
        <f t="array" ref="BH18">ROUND(INDEX($D$4:$D$33,$AS18)*INDEX($AK$4:$AK$33,BH$3)*$AV$1,0)</f>
        <v>0</v>
      </c>
      <c r="BI18" s="53" cm="1">
        <f t="array" ref="BI18">ROUND(INDEX($D$4:$D$33,$AS18)*INDEX($AK$4:$AK$33,BI$3)*$AV$1,0)</f>
        <v>0</v>
      </c>
      <c r="BJ18" s="53" cm="1">
        <f t="array" ref="BJ18">ROUND(INDEX($D$4:$D$33,$AS18)*INDEX($AK$4:$AK$33,BJ$3)*$AV$1,0)</f>
        <v>0</v>
      </c>
      <c r="BK18" s="53" cm="1">
        <f t="array" ref="BK18">ROUND(INDEX($D$4:$D$33,$AS18)*INDEX($AK$4:$AK$33,BK$3)*$AV$1,0)</f>
        <v>0</v>
      </c>
      <c r="BL18" s="53" cm="1">
        <f t="array" ref="BL18">ROUND(INDEX($D$4:$D$33,$AS18)*INDEX($AK$4:$AK$33,BL$3)*$AV$1,0)</f>
        <v>0</v>
      </c>
      <c r="BM18" s="53" cm="1">
        <f t="array" ref="BM18">ROUND(INDEX($D$4:$D$33,$AS18)*INDEX($AK$4:$AK$33,BM$3)*$AV$1,0)</f>
        <v>0</v>
      </c>
      <c r="BN18" s="53" cm="1">
        <f t="array" ref="BN18">ROUND(INDEX($D$4:$D$33,$AS18)*INDEX($AK$4:$AK$33,BN$3)*$AV$1,0)</f>
        <v>0</v>
      </c>
      <c r="BO18" s="53" cm="1">
        <f t="array" ref="BO18">ROUND(INDEX($D$4:$D$33,$AS18)*INDEX($AK$4:$AK$33,BO$3)*$AV$1,0)</f>
        <v>0</v>
      </c>
      <c r="BP18" s="53" cm="1">
        <f t="array" ref="BP18">ROUND(INDEX($D$4:$D$33,$AS18)*INDEX($AK$4:$AK$33,BP$3)*$AV$1,0)</f>
        <v>0</v>
      </c>
      <c r="BQ18" s="53" cm="1">
        <f t="array" ref="BQ18">ROUND(INDEX($D$4:$D$33,$AS18)*INDEX($AK$4:$AK$33,BQ$3)*$AV$1,0)</f>
        <v>0</v>
      </c>
      <c r="BR18" s="53" cm="1">
        <f t="array" ref="BR18">ROUND(INDEX($D$4:$D$33,$AS18)*INDEX($AK$4:$AK$33,BR$3)*$AV$1,0)</f>
        <v>0</v>
      </c>
      <c r="BS18" s="53" cm="1">
        <f t="array" ref="BS18">ROUND(INDEX($D$4:$D$33,$AS18)*INDEX($AK$4:$AK$33,BS$3)*$AV$1,0)</f>
        <v>0</v>
      </c>
      <c r="BT18" s="53" cm="1">
        <f t="array" ref="BT18">ROUND(INDEX($D$4:$D$33,$AS18)*INDEX($AK$4:$AK$33,BT$3)*$AV$1,0)</f>
        <v>0</v>
      </c>
      <c r="BU18" s="53" cm="1">
        <f t="array" ref="BU18">ROUND(INDEX($D$4:$D$33,$AS18)*INDEX($AK$4:$AK$33,BU$3)*$AV$1,0)</f>
        <v>0</v>
      </c>
      <c r="BV18" s="53" cm="1">
        <f t="array" ref="BV18">ROUND(INDEX($D$4:$D$33,$AS18)*INDEX($AK$4:$AK$33,BV$3)*$AV$1,0)</f>
        <v>0</v>
      </c>
      <c r="BW18" s="53" cm="1">
        <f t="array" ref="BW18">ROUND(INDEX($D$4:$D$33,$AS18)*INDEX($AK$4:$AK$33,BW$3)*$AV$1,0)</f>
        <v>0</v>
      </c>
      <c r="BX18" s="38">
        <f t="shared" si="3"/>
        <v>0</v>
      </c>
      <c r="BZ18">
        <f>BX18+BH34</f>
        <v>976</v>
      </c>
      <c r="CA18" s="39">
        <v>15</v>
      </c>
      <c r="CD18">
        <v>3.1494589192657902E-3</v>
      </c>
      <c r="CN18" s="2"/>
    </row>
    <row r="19" spans="1:92" x14ac:dyDescent="0.25">
      <c r="A19" s="1"/>
      <c r="B19" s="10">
        <v>16</v>
      </c>
      <c r="C19" s="4">
        <v>-1.03621140739239</v>
      </c>
      <c r="D19" s="45">
        <v>0</v>
      </c>
      <c r="E19" s="1"/>
      <c r="F19" s="13">
        <v>-0.74091371752017399</v>
      </c>
      <c r="G19" s="5">
        <v>-0.51998536791433203</v>
      </c>
      <c r="H19" s="5">
        <v>-0.95923461186473602</v>
      </c>
      <c r="I19" s="5">
        <v>0.51518780315552404</v>
      </c>
      <c r="J19" s="5">
        <v>0.42934594206565901</v>
      </c>
      <c r="K19" s="5">
        <v>-0.58568621242403995</v>
      </c>
      <c r="L19" s="5">
        <v>2.04187285757471</v>
      </c>
      <c r="M19" s="5">
        <v>0.64992688059927595</v>
      </c>
      <c r="N19" s="5">
        <v>0.28693618067216697</v>
      </c>
      <c r="O19" s="5">
        <v>1.35494662381402</v>
      </c>
      <c r="P19" s="5">
        <v>-1.7364333381667201</v>
      </c>
      <c r="Q19" s="5">
        <v>-6.4391555010141197E-2</v>
      </c>
      <c r="R19" s="5">
        <v>-1.74514281011281E-2</v>
      </c>
      <c r="S19" s="5">
        <v>0.141376133798053</v>
      </c>
      <c r="T19" s="5">
        <v>-0.73419933934531301</v>
      </c>
      <c r="U19" s="13">
        <v>0</v>
      </c>
      <c r="V19" s="5">
        <v>0.17320001317304701</v>
      </c>
      <c r="W19" s="5">
        <v>-0.17633397007684301</v>
      </c>
      <c r="X19" s="5">
        <v>0.14423326121792701</v>
      </c>
      <c r="Y19" s="5">
        <v>-0.52547843377165404</v>
      </c>
      <c r="Z19" s="5">
        <v>0.37023073489536501</v>
      </c>
      <c r="AA19" s="5">
        <v>-1.49830551789533</v>
      </c>
      <c r="AB19" s="5">
        <v>1.3697550476018201</v>
      </c>
      <c r="AC19" s="5">
        <v>-0.40569876210836198</v>
      </c>
      <c r="AD19" s="5">
        <v>-0.47642953027695001</v>
      </c>
      <c r="AE19" s="5">
        <v>-0.47587136230315502</v>
      </c>
      <c r="AF19" s="5">
        <v>-0.85448844832460302</v>
      </c>
      <c r="AG19" s="5">
        <v>7.76555415951279E-2</v>
      </c>
      <c r="AH19" s="5">
        <v>0.46751238069171103</v>
      </c>
      <c r="AI19" s="5">
        <v>0.88400994210606498</v>
      </c>
      <c r="AJ19" s="1"/>
      <c r="AK19" s="26">
        <v>0</v>
      </c>
      <c r="AL19" s="15">
        <f t="shared" si="0"/>
        <v>0</v>
      </c>
      <c r="AM19" s="37">
        <f t="shared" si="1"/>
        <v>0</v>
      </c>
      <c r="AN19" s="1"/>
      <c r="AO19" s="48">
        <v>0.2</v>
      </c>
      <c r="AP19" s="48">
        <v>0.2</v>
      </c>
      <c r="AQ19" s="47">
        <f t="shared" si="2"/>
        <v>0</v>
      </c>
      <c r="AR19" s="36"/>
      <c r="AS19" s="40">
        <v>16</v>
      </c>
      <c r="AT19" s="53" cm="1">
        <f t="array" ref="AT19">ROUND(INDEX($D$4:$D$33,$AS19)*INDEX($AK$4:$AK$33,AT$3)*$AV$1,0)</f>
        <v>0</v>
      </c>
      <c r="AU19" s="53" cm="1">
        <f t="array" ref="AU19">ROUND(INDEX($D$4:$D$33,$AS19)*INDEX($AK$4:$AK$33,AU$3)*$AV$1,0)</f>
        <v>0</v>
      </c>
      <c r="AV19" s="53" cm="1">
        <f t="array" ref="AV19">ROUND(INDEX($D$4:$D$33,$AS19)*INDEX($AK$4:$AK$33,AV$3)*$AV$1,0)</f>
        <v>0</v>
      </c>
      <c r="AW19" s="53" cm="1">
        <f t="array" ref="AW19">ROUND(INDEX($D$4:$D$33,$AS19)*INDEX($AK$4:$AK$33,AW$3)*$AV$1,0)</f>
        <v>0</v>
      </c>
      <c r="AX19" s="53" cm="1">
        <f t="array" ref="AX19">ROUND(INDEX($D$4:$D$33,$AS19)*INDEX($AK$4:$AK$33,AX$3)*$AV$1,0)</f>
        <v>0</v>
      </c>
      <c r="AY19" s="53" cm="1">
        <f t="array" ref="AY19">ROUND(INDEX($D$4:$D$33,$AS19)*INDEX($AK$4:$AK$33,AY$3)*$AV$1,0)</f>
        <v>0</v>
      </c>
      <c r="AZ19" s="53" cm="1">
        <f t="array" ref="AZ19">ROUND(INDEX($D$4:$D$33,$AS19)*INDEX($AK$4:$AK$33,AZ$3)*$AV$1,0)</f>
        <v>0</v>
      </c>
      <c r="BA19" s="53" cm="1">
        <f t="array" ref="BA19">ROUND(INDEX($D$4:$D$33,$AS19)*INDEX($AK$4:$AK$33,BA$3)*$AV$1,0)</f>
        <v>0</v>
      </c>
      <c r="BB19" s="53" cm="1">
        <f t="array" ref="BB19">ROUND(INDEX($D$4:$D$33,$AS19)*INDEX($AK$4:$AK$33,BB$3)*$AV$1,0)</f>
        <v>0</v>
      </c>
      <c r="BC19" s="53" cm="1">
        <f t="array" ref="BC19">ROUND(INDEX($D$4:$D$33,$AS19)*INDEX($AK$4:$AK$33,BC$3)*$AV$1,0)</f>
        <v>0</v>
      </c>
      <c r="BD19" s="53" cm="1">
        <f t="array" ref="BD19">ROUND(INDEX($D$4:$D$33,$AS19)*INDEX($AK$4:$AK$33,BD$3)*$AV$1,0)</f>
        <v>0</v>
      </c>
      <c r="BE19" s="53" cm="1">
        <f t="array" ref="BE19">ROUND(INDEX($D$4:$D$33,$AS19)*INDEX($AK$4:$AK$33,BE$3)*$AV$1,0)</f>
        <v>0</v>
      </c>
      <c r="BF19" s="53" cm="1">
        <f t="array" ref="BF19">ROUND(INDEX($D$4:$D$33,$AS19)*INDEX($AK$4:$AK$33,BF$3)*$AV$1,0)</f>
        <v>0</v>
      </c>
      <c r="BG19" s="53" cm="1">
        <f t="array" ref="BG19">ROUND(INDEX($D$4:$D$33,$AS19)*INDEX($AK$4:$AK$33,BG$3)*$AV$1,0)</f>
        <v>0</v>
      </c>
      <c r="BH19" s="53" cm="1">
        <f t="array" ref="BH19">ROUND(INDEX($D$4:$D$33,$AS19)*INDEX($AK$4:$AK$33,BH$3)*$AV$1,0)</f>
        <v>0</v>
      </c>
      <c r="BI19" s="52" cm="1">
        <f t="array" ref="BI19">ROUND(INDEX($D$4:$D$33,$AS19)*INDEX($AK$4:$AK$33,BI$3)*$AV$1,0)</f>
        <v>0</v>
      </c>
      <c r="BJ19" s="53" cm="1">
        <f t="array" ref="BJ19">ROUND(INDEX($D$4:$D$33,$AS19)*INDEX($AK$4:$AK$33,BJ$3)*$AV$1,0)</f>
        <v>0</v>
      </c>
      <c r="BK19" s="53" cm="1">
        <f t="array" ref="BK19">ROUND(INDEX($D$4:$D$33,$AS19)*INDEX($AK$4:$AK$33,BK$3)*$AV$1,0)</f>
        <v>0</v>
      </c>
      <c r="BL19" s="53" cm="1">
        <f t="array" ref="BL19">ROUND(INDEX($D$4:$D$33,$AS19)*INDEX($AK$4:$AK$33,BL$3)*$AV$1,0)</f>
        <v>0</v>
      </c>
      <c r="BM19" s="53" cm="1">
        <f t="array" ref="BM19">ROUND(INDEX($D$4:$D$33,$AS19)*INDEX($AK$4:$AK$33,BM$3)*$AV$1,0)</f>
        <v>0</v>
      </c>
      <c r="BN19" s="53" cm="1">
        <f t="array" ref="BN19">ROUND(INDEX($D$4:$D$33,$AS19)*INDEX($AK$4:$AK$33,BN$3)*$AV$1,0)</f>
        <v>0</v>
      </c>
      <c r="BO19" s="53" cm="1">
        <f t="array" ref="BO19">ROUND(INDEX($D$4:$D$33,$AS19)*INDEX($AK$4:$AK$33,BO$3)*$AV$1,0)</f>
        <v>0</v>
      </c>
      <c r="BP19" s="53" cm="1">
        <f t="array" ref="BP19">ROUND(INDEX($D$4:$D$33,$AS19)*INDEX($AK$4:$AK$33,BP$3)*$AV$1,0)</f>
        <v>0</v>
      </c>
      <c r="BQ19" s="53" cm="1">
        <f t="array" ref="BQ19">ROUND(INDEX($D$4:$D$33,$AS19)*INDEX($AK$4:$AK$33,BQ$3)*$AV$1,0)</f>
        <v>0</v>
      </c>
      <c r="BR19" s="53" cm="1">
        <f t="array" ref="BR19">ROUND(INDEX($D$4:$D$33,$AS19)*INDEX($AK$4:$AK$33,BR$3)*$AV$1,0)</f>
        <v>0</v>
      </c>
      <c r="BS19" s="53" cm="1">
        <f t="array" ref="BS19">ROUND(INDEX($D$4:$D$33,$AS19)*INDEX($AK$4:$AK$33,BS$3)*$AV$1,0)</f>
        <v>0</v>
      </c>
      <c r="BT19" s="53" cm="1">
        <f t="array" ref="BT19">ROUND(INDEX($D$4:$D$33,$AS19)*INDEX($AK$4:$AK$33,BT$3)*$AV$1,0)</f>
        <v>0</v>
      </c>
      <c r="BU19" s="53" cm="1">
        <f t="array" ref="BU19">ROUND(INDEX($D$4:$D$33,$AS19)*INDEX($AK$4:$AK$33,BU$3)*$AV$1,0)</f>
        <v>0</v>
      </c>
      <c r="BV19" s="53" cm="1">
        <f t="array" ref="BV19">ROUND(INDEX($D$4:$D$33,$AS19)*INDEX($AK$4:$AK$33,BV$3)*$AV$1,0)</f>
        <v>0</v>
      </c>
      <c r="BW19" s="53" cm="1">
        <f t="array" ref="BW19">ROUND(INDEX($D$4:$D$33,$AS19)*INDEX($AK$4:$AK$33,BW$3)*$AV$1,0)</f>
        <v>0</v>
      </c>
      <c r="BX19" s="38">
        <f t="shared" si="3"/>
        <v>0</v>
      </c>
      <c r="BZ19">
        <f>BX19+BI34</f>
        <v>0</v>
      </c>
      <c r="CA19" s="39">
        <v>16</v>
      </c>
      <c r="CD19">
        <v>0.160448176777199</v>
      </c>
      <c r="CN19" s="2"/>
    </row>
    <row r="20" spans="1:92" x14ac:dyDescent="0.25">
      <c r="A20" s="1"/>
      <c r="B20" s="10">
        <v>17</v>
      </c>
      <c r="C20" s="4">
        <v>-2.8237518183916701E-2</v>
      </c>
      <c r="D20" s="45">
        <v>0</v>
      </c>
      <c r="E20" s="1"/>
      <c r="F20" s="13">
        <v>1.18553095114982</v>
      </c>
      <c r="G20" s="5">
        <v>0.82943828868754499</v>
      </c>
      <c r="H20" s="5">
        <v>-0.133686537214321</v>
      </c>
      <c r="I20" s="5">
        <v>6.1216103023294798E-2</v>
      </c>
      <c r="J20" s="5">
        <v>1.06954150457034</v>
      </c>
      <c r="K20" s="5">
        <v>1.26803388674307</v>
      </c>
      <c r="L20" s="5">
        <v>0.77967046388979</v>
      </c>
      <c r="M20" s="5">
        <v>-0.23040894545995499</v>
      </c>
      <c r="N20" s="5">
        <v>-0.41211238268572897</v>
      </c>
      <c r="O20" s="5">
        <v>0.53145243169453504</v>
      </c>
      <c r="P20" s="5">
        <v>-0.61075239316252805</v>
      </c>
      <c r="Q20" s="5">
        <v>-0.75722338438841197</v>
      </c>
      <c r="R20" s="5">
        <v>-0.25119034927516298</v>
      </c>
      <c r="S20" s="5">
        <v>0.67590892727950602</v>
      </c>
      <c r="T20" s="5">
        <v>0.112629136288749</v>
      </c>
      <c r="U20" s="5">
        <v>0.17320001317304701</v>
      </c>
      <c r="V20" s="13">
        <v>0</v>
      </c>
      <c r="W20" s="5">
        <v>0.35051398641301501</v>
      </c>
      <c r="X20" s="5">
        <v>0.69985713116894099</v>
      </c>
      <c r="Y20" s="5">
        <v>5.0933385325006297E-2</v>
      </c>
      <c r="Z20" s="5">
        <v>-1.03352822621116</v>
      </c>
      <c r="AA20" s="5">
        <v>-3.28555344892935E-2</v>
      </c>
      <c r="AB20" s="5">
        <v>-0.12077299394431799</v>
      </c>
      <c r="AC20" s="5">
        <v>7.4523533822324406E-2</v>
      </c>
      <c r="AD20" s="5">
        <v>-1.3606459227659899</v>
      </c>
      <c r="AE20" s="5">
        <v>0.65894818259208698</v>
      </c>
      <c r="AF20" s="5">
        <v>-4.6238840510950098E-2</v>
      </c>
      <c r="AG20" s="5">
        <v>-1.17006505065017</v>
      </c>
      <c r="AH20" s="5">
        <v>-1.2230415972366799</v>
      </c>
      <c r="AI20" s="5">
        <v>-8.1744024113293998E-2</v>
      </c>
      <c r="AJ20" s="1"/>
      <c r="AK20" s="26">
        <v>3.0265815440653199E-2</v>
      </c>
      <c r="AL20" s="15">
        <f t="shared" si="0"/>
        <v>-8.5463151385651161E-4</v>
      </c>
      <c r="AM20" s="37">
        <f t="shared" si="1"/>
        <v>1.51329077203266</v>
      </c>
      <c r="AN20" s="1"/>
      <c r="AO20" s="48">
        <v>0.2</v>
      </c>
      <c r="AP20" s="48">
        <v>0.2</v>
      </c>
      <c r="AQ20" s="47">
        <f t="shared" si="2"/>
        <v>1.51329077203266E-2</v>
      </c>
      <c r="AR20" s="36"/>
      <c r="AS20" s="40">
        <v>17</v>
      </c>
      <c r="AT20" s="53" cm="1">
        <f t="array" ref="AT20">ROUND(INDEX($D$4:$D$33,$AS20)*INDEX($AK$4:$AK$33,AT$3)*$AV$1,0)</f>
        <v>0</v>
      </c>
      <c r="AU20" s="53" cm="1">
        <f t="array" ref="AU20">ROUND(INDEX($D$4:$D$33,$AS20)*INDEX($AK$4:$AK$33,AU$3)*$AV$1,0)</f>
        <v>0</v>
      </c>
      <c r="AV20" s="53" cm="1">
        <f t="array" ref="AV20">ROUND(INDEX($D$4:$D$33,$AS20)*INDEX($AK$4:$AK$33,AV$3)*$AV$1,0)</f>
        <v>0</v>
      </c>
      <c r="AW20" s="53" cm="1">
        <f t="array" ref="AW20">ROUND(INDEX($D$4:$D$33,$AS20)*INDEX($AK$4:$AK$33,AW$3)*$AV$1,0)</f>
        <v>0</v>
      </c>
      <c r="AX20" s="53" cm="1">
        <f t="array" ref="AX20">ROUND(INDEX($D$4:$D$33,$AS20)*INDEX($AK$4:$AK$33,AX$3)*$AV$1,0)</f>
        <v>0</v>
      </c>
      <c r="AY20" s="53" cm="1">
        <f t="array" ref="AY20">ROUND(INDEX($D$4:$D$33,$AS20)*INDEX($AK$4:$AK$33,AY$3)*$AV$1,0)</f>
        <v>0</v>
      </c>
      <c r="AZ20" s="53" cm="1">
        <f t="array" ref="AZ20">ROUND(INDEX($D$4:$D$33,$AS20)*INDEX($AK$4:$AK$33,AZ$3)*$AV$1,0)</f>
        <v>0</v>
      </c>
      <c r="BA20" s="53" cm="1">
        <f t="array" ref="BA20">ROUND(INDEX($D$4:$D$33,$AS20)*INDEX($AK$4:$AK$33,BA$3)*$AV$1,0)</f>
        <v>0</v>
      </c>
      <c r="BB20" s="53" cm="1">
        <f t="array" ref="BB20">ROUND(INDEX($D$4:$D$33,$AS20)*INDEX($AK$4:$AK$33,BB$3)*$AV$1,0)</f>
        <v>0</v>
      </c>
      <c r="BC20" s="53" cm="1">
        <f t="array" ref="BC20">ROUND(INDEX($D$4:$D$33,$AS20)*INDEX($AK$4:$AK$33,BC$3)*$AV$1,0)</f>
        <v>0</v>
      </c>
      <c r="BD20" s="53" cm="1">
        <f t="array" ref="BD20">ROUND(INDEX($D$4:$D$33,$AS20)*INDEX($AK$4:$AK$33,BD$3)*$AV$1,0)</f>
        <v>0</v>
      </c>
      <c r="BE20" s="53" cm="1">
        <f t="array" ref="BE20">ROUND(INDEX($D$4:$D$33,$AS20)*INDEX($AK$4:$AK$33,BE$3)*$AV$1,0)</f>
        <v>0</v>
      </c>
      <c r="BF20" s="53" cm="1">
        <f t="array" ref="BF20">ROUND(INDEX($D$4:$D$33,$AS20)*INDEX($AK$4:$AK$33,BF$3)*$AV$1,0)</f>
        <v>0</v>
      </c>
      <c r="BG20" s="53" cm="1">
        <f t="array" ref="BG20">ROUND(INDEX($D$4:$D$33,$AS20)*INDEX($AK$4:$AK$33,BG$3)*$AV$1,0)</f>
        <v>0</v>
      </c>
      <c r="BH20" s="53" cm="1">
        <f t="array" ref="BH20">ROUND(INDEX($D$4:$D$33,$AS20)*INDEX($AK$4:$AK$33,BH$3)*$AV$1,0)</f>
        <v>0</v>
      </c>
      <c r="BI20" s="53" cm="1">
        <f t="array" ref="BI20">ROUND(INDEX($D$4:$D$33,$AS20)*INDEX($AK$4:$AK$33,BI$3)*$AV$1,0)</f>
        <v>0</v>
      </c>
      <c r="BJ20" s="52" cm="1">
        <f t="array" ref="BJ20">ROUND(INDEX($D$4:$D$33,$AS20)*INDEX($AK$4:$AK$33,BJ$3)*$AV$1,0)</f>
        <v>0</v>
      </c>
      <c r="BK20" s="53" cm="1">
        <f t="array" ref="BK20">ROUND(INDEX($D$4:$D$33,$AS20)*INDEX($AK$4:$AK$33,BK$3)*$AV$1,0)</f>
        <v>0</v>
      </c>
      <c r="BL20" s="53" cm="1">
        <f t="array" ref="BL20">ROUND(INDEX($D$4:$D$33,$AS20)*INDEX($AK$4:$AK$33,BL$3)*$AV$1,0)</f>
        <v>0</v>
      </c>
      <c r="BM20" s="53" cm="1">
        <f t="array" ref="BM20">ROUND(INDEX($D$4:$D$33,$AS20)*INDEX($AK$4:$AK$33,BM$3)*$AV$1,0)</f>
        <v>0</v>
      </c>
      <c r="BN20" s="53" cm="1">
        <f t="array" ref="BN20">ROUND(INDEX($D$4:$D$33,$AS20)*INDEX($AK$4:$AK$33,BN$3)*$AV$1,0)</f>
        <v>0</v>
      </c>
      <c r="BO20" s="53" cm="1">
        <f t="array" ref="BO20">ROUND(INDEX($D$4:$D$33,$AS20)*INDEX($AK$4:$AK$33,BO$3)*$AV$1,0)</f>
        <v>0</v>
      </c>
      <c r="BP20" s="53" cm="1">
        <f t="array" ref="BP20">ROUND(INDEX($D$4:$D$33,$AS20)*INDEX($AK$4:$AK$33,BP$3)*$AV$1,0)</f>
        <v>0</v>
      </c>
      <c r="BQ20" s="53" cm="1">
        <f t="array" ref="BQ20">ROUND(INDEX($D$4:$D$33,$AS20)*INDEX($AK$4:$AK$33,BQ$3)*$AV$1,0)</f>
        <v>0</v>
      </c>
      <c r="BR20" s="53" cm="1">
        <f t="array" ref="BR20">ROUND(INDEX($D$4:$D$33,$AS20)*INDEX($AK$4:$AK$33,BR$3)*$AV$1,0)</f>
        <v>0</v>
      </c>
      <c r="BS20" s="53" cm="1">
        <f t="array" ref="BS20">ROUND(INDEX($D$4:$D$33,$AS20)*INDEX($AK$4:$AK$33,BS$3)*$AV$1,0)</f>
        <v>0</v>
      </c>
      <c r="BT20" s="53" cm="1">
        <f t="array" ref="BT20">ROUND(INDEX($D$4:$D$33,$AS20)*INDEX($AK$4:$AK$33,BT$3)*$AV$1,0)</f>
        <v>0</v>
      </c>
      <c r="BU20" s="53" cm="1">
        <f t="array" ref="BU20">ROUND(INDEX($D$4:$D$33,$AS20)*INDEX($AK$4:$AK$33,BU$3)*$AV$1,0)</f>
        <v>0</v>
      </c>
      <c r="BV20" s="53" cm="1">
        <f t="array" ref="BV20">ROUND(INDEX($D$4:$D$33,$AS20)*INDEX($AK$4:$AK$33,BV$3)*$AV$1,0)</f>
        <v>0</v>
      </c>
      <c r="BW20" s="53" cm="1">
        <f t="array" ref="BW20">ROUND(INDEX($D$4:$D$33,$AS20)*INDEX($AK$4:$AK$33,BW$3)*$AV$1,0)</f>
        <v>0</v>
      </c>
      <c r="BX20" s="38">
        <f t="shared" si="3"/>
        <v>0</v>
      </c>
      <c r="BZ20">
        <f>BX20+BJ34</f>
        <v>149</v>
      </c>
      <c r="CA20" s="39">
        <v>17</v>
      </c>
      <c r="CD20">
        <v>-1.1057766407718601</v>
      </c>
      <c r="CN20" s="2"/>
    </row>
    <row r="21" spans="1:92" x14ac:dyDescent="0.25">
      <c r="A21" s="1"/>
      <c r="B21" s="10">
        <v>18</v>
      </c>
      <c r="C21" s="4">
        <v>-2.8197667942483502</v>
      </c>
      <c r="D21" s="45">
        <v>0</v>
      </c>
      <c r="E21" s="1"/>
      <c r="F21" s="13">
        <v>0.73219835913706699</v>
      </c>
      <c r="G21" s="5">
        <v>0.74021598554684498</v>
      </c>
      <c r="H21" s="5">
        <v>0.47815306106753502</v>
      </c>
      <c r="I21" s="5">
        <v>0.38650075515003002</v>
      </c>
      <c r="J21" s="5">
        <v>0.53032207733395098</v>
      </c>
      <c r="K21" s="5">
        <v>-0.51607408895264995</v>
      </c>
      <c r="L21" s="5">
        <v>0.58916309928594401</v>
      </c>
      <c r="M21" s="5">
        <v>-0.84750314548495498</v>
      </c>
      <c r="N21" s="5">
        <v>0.43753892099449099</v>
      </c>
      <c r="O21" s="5">
        <v>-0.58860462028989502</v>
      </c>
      <c r="P21" s="5">
        <v>-0.68624346210708898</v>
      </c>
      <c r="Q21" s="5">
        <v>-0.320680559270692</v>
      </c>
      <c r="R21" s="5">
        <v>-0.92115331084122098</v>
      </c>
      <c r="S21" s="5">
        <v>1.12958881681944E-2</v>
      </c>
      <c r="T21" s="5">
        <v>0.78535463616605905</v>
      </c>
      <c r="U21" s="5">
        <v>-0.17633397007684301</v>
      </c>
      <c r="V21" s="5">
        <v>0.35051398641301501</v>
      </c>
      <c r="W21" s="13">
        <v>0</v>
      </c>
      <c r="X21" s="5">
        <v>0.26530616471912799</v>
      </c>
      <c r="Y21" s="5">
        <v>-0.25201523313128898</v>
      </c>
      <c r="Z21" s="5">
        <v>1.3197480538078099</v>
      </c>
      <c r="AA21" s="5">
        <v>-0.68361733374469902</v>
      </c>
      <c r="AB21" s="5">
        <v>0.212958313617024</v>
      </c>
      <c r="AC21" s="5">
        <v>-0.42786752273906797</v>
      </c>
      <c r="AD21" s="5">
        <v>-7.9491270940328596E-2</v>
      </c>
      <c r="AE21" s="5">
        <v>-0.25306672553624898</v>
      </c>
      <c r="AF21" s="5">
        <v>-0.23110818400820701</v>
      </c>
      <c r="AG21" s="5">
        <v>0.78536382340532795</v>
      </c>
      <c r="AH21" s="5">
        <v>-1.5118462788848901</v>
      </c>
      <c r="AI21" s="5">
        <v>-0.94170340829253596</v>
      </c>
      <c r="AJ21" s="1"/>
      <c r="AK21" s="26">
        <v>0</v>
      </c>
      <c r="AL21" s="15">
        <f t="shared" si="0"/>
        <v>0</v>
      </c>
      <c r="AM21" s="37">
        <f t="shared" si="1"/>
        <v>0</v>
      </c>
      <c r="AN21" s="1"/>
      <c r="AO21" s="48">
        <v>0.2</v>
      </c>
      <c r="AP21" s="48">
        <v>0.2</v>
      </c>
      <c r="AQ21" s="47">
        <f t="shared" si="2"/>
        <v>0</v>
      </c>
      <c r="AR21" s="36"/>
      <c r="AS21" s="40">
        <v>18</v>
      </c>
      <c r="AT21" s="53" cm="1">
        <f t="array" ref="AT21">ROUND(INDEX($D$4:$D$33,$AS21)*INDEX($AK$4:$AK$33,AT$3)*$AV$1,0)</f>
        <v>0</v>
      </c>
      <c r="AU21" s="53" cm="1">
        <f t="array" ref="AU21">ROUND(INDEX($D$4:$D$33,$AS21)*INDEX($AK$4:$AK$33,AU$3)*$AV$1,0)</f>
        <v>0</v>
      </c>
      <c r="AV21" s="53" cm="1">
        <f t="array" ref="AV21">ROUND(INDEX($D$4:$D$33,$AS21)*INDEX($AK$4:$AK$33,AV$3)*$AV$1,0)</f>
        <v>0</v>
      </c>
      <c r="AW21" s="53" cm="1">
        <f t="array" ref="AW21">ROUND(INDEX($D$4:$D$33,$AS21)*INDEX($AK$4:$AK$33,AW$3)*$AV$1,0)</f>
        <v>0</v>
      </c>
      <c r="AX21" s="53" cm="1">
        <f t="array" ref="AX21">ROUND(INDEX($D$4:$D$33,$AS21)*INDEX($AK$4:$AK$33,AX$3)*$AV$1,0)</f>
        <v>0</v>
      </c>
      <c r="AY21" s="53" cm="1">
        <f t="array" ref="AY21">ROUND(INDEX($D$4:$D$33,$AS21)*INDEX($AK$4:$AK$33,AY$3)*$AV$1,0)</f>
        <v>0</v>
      </c>
      <c r="AZ21" s="53" cm="1">
        <f t="array" ref="AZ21">ROUND(INDEX($D$4:$D$33,$AS21)*INDEX($AK$4:$AK$33,AZ$3)*$AV$1,0)</f>
        <v>0</v>
      </c>
      <c r="BA21" s="53" cm="1">
        <f t="array" ref="BA21">ROUND(INDEX($D$4:$D$33,$AS21)*INDEX($AK$4:$AK$33,BA$3)*$AV$1,0)</f>
        <v>0</v>
      </c>
      <c r="BB21" s="53" cm="1">
        <f t="array" ref="BB21">ROUND(INDEX($D$4:$D$33,$AS21)*INDEX($AK$4:$AK$33,BB$3)*$AV$1,0)</f>
        <v>0</v>
      </c>
      <c r="BC21" s="53" cm="1">
        <f t="array" ref="BC21">ROUND(INDEX($D$4:$D$33,$AS21)*INDEX($AK$4:$AK$33,BC$3)*$AV$1,0)</f>
        <v>0</v>
      </c>
      <c r="BD21" s="53" cm="1">
        <f t="array" ref="BD21">ROUND(INDEX($D$4:$D$33,$AS21)*INDEX($AK$4:$AK$33,BD$3)*$AV$1,0)</f>
        <v>0</v>
      </c>
      <c r="BE21" s="53" cm="1">
        <f t="array" ref="BE21">ROUND(INDEX($D$4:$D$33,$AS21)*INDEX($AK$4:$AK$33,BE$3)*$AV$1,0)</f>
        <v>0</v>
      </c>
      <c r="BF21" s="53" cm="1">
        <f t="array" ref="BF21">ROUND(INDEX($D$4:$D$33,$AS21)*INDEX($AK$4:$AK$33,BF$3)*$AV$1,0)</f>
        <v>0</v>
      </c>
      <c r="BG21" s="53" cm="1">
        <f t="array" ref="BG21">ROUND(INDEX($D$4:$D$33,$AS21)*INDEX($AK$4:$AK$33,BG$3)*$AV$1,0)</f>
        <v>0</v>
      </c>
      <c r="BH21" s="53" cm="1">
        <f t="array" ref="BH21">ROUND(INDEX($D$4:$D$33,$AS21)*INDEX($AK$4:$AK$33,BH$3)*$AV$1,0)</f>
        <v>0</v>
      </c>
      <c r="BI21" s="53" cm="1">
        <f t="array" ref="BI21">ROUND(INDEX($D$4:$D$33,$AS21)*INDEX($AK$4:$AK$33,BI$3)*$AV$1,0)</f>
        <v>0</v>
      </c>
      <c r="BJ21" s="53" cm="1">
        <f t="array" ref="BJ21">ROUND(INDEX($D$4:$D$33,$AS21)*INDEX($AK$4:$AK$33,BJ$3)*$AV$1,0)</f>
        <v>0</v>
      </c>
      <c r="BK21" s="52" cm="1">
        <f t="array" ref="BK21">ROUND(INDEX($D$4:$D$33,$AS21)*INDEX($AK$4:$AK$33,BK$3)*$AV$1,0)</f>
        <v>0</v>
      </c>
      <c r="BL21" s="53" cm="1">
        <f t="array" ref="BL21">ROUND(INDEX($D$4:$D$33,$AS21)*INDEX($AK$4:$AK$33,BL$3)*$AV$1,0)</f>
        <v>0</v>
      </c>
      <c r="BM21" s="53" cm="1">
        <f t="array" ref="BM21">ROUND(INDEX($D$4:$D$33,$AS21)*INDEX($AK$4:$AK$33,BM$3)*$AV$1,0)</f>
        <v>0</v>
      </c>
      <c r="BN21" s="53" cm="1">
        <f t="array" ref="BN21">ROUND(INDEX($D$4:$D$33,$AS21)*INDEX($AK$4:$AK$33,BN$3)*$AV$1,0)</f>
        <v>0</v>
      </c>
      <c r="BO21" s="53" cm="1">
        <f t="array" ref="BO21">ROUND(INDEX($D$4:$D$33,$AS21)*INDEX($AK$4:$AK$33,BO$3)*$AV$1,0)</f>
        <v>0</v>
      </c>
      <c r="BP21" s="53" cm="1">
        <f t="array" ref="BP21">ROUND(INDEX($D$4:$D$33,$AS21)*INDEX($AK$4:$AK$33,BP$3)*$AV$1,0)</f>
        <v>0</v>
      </c>
      <c r="BQ21" s="53" cm="1">
        <f t="array" ref="BQ21">ROUND(INDEX($D$4:$D$33,$AS21)*INDEX($AK$4:$AK$33,BQ$3)*$AV$1,0)</f>
        <v>0</v>
      </c>
      <c r="BR21" s="53" cm="1">
        <f t="array" ref="BR21">ROUND(INDEX($D$4:$D$33,$AS21)*INDEX($AK$4:$AK$33,BR$3)*$AV$1,0)</f>
        <v>0</v>
      </c>
      <c r="BS21" s="53" cm="1">
        <f t="array" ref="BS21">ROUND(INDEX($D$4:$D$33,$AS21)*INDEX($AK$4:$AK$33,BS$3)*$AV$1,0)</f>
        <v>0</v>
      </c>
      <c r="BT21" s="53" cm="1">
        <f t="array" ref="BT21">ROUND(INDEX($D$4:$D$33,$AS21)*INDEX($AK$4:$AK$33,BT$3)*$AV$1,0)</f>
        <v>0</v>
      </c>
      <c r="BU21" s="53" cm="1">
        <f t="array" ref="BU21">ROUND(INDEX($D$4:$D$33,$AS21)*INDEX($AK$4:$AK$33,BU$3)*$AV$1,0)</f>
        <v>0</v>
      </c>
      <c r="BV21" s="53" cm="1">
        <f t="array" ref="BV21">ROUND(INDEX($D$4:$D$33,$AS21)*INDEX($AK$4:$AK$33,BV$3)*$AV$1,0)</f>
        <v>0</v>
      </c>
      <c r="BW21" s="53" cm="1">
        <f t="array" ref="BW21">ROUND(INDEX($D$4:$D$33,$AS21)*INDEX($AK$4:$AK$33,BW$3)*$AV$1,0)</f>
        <v>0</v>
      </c>
      <c r="BX21" s="38">
        <f t="shared" si="3"/>
        <v>0</v>
      </c>
      <c r="BZ21">
        <f>BX21+BK34</f>
        <v>0</v>
      </c>
      <c r="CA21" s="39">
        <v>18</v>
      </c>
      <c r="CD21">
        <v>0.99290622508019399</v>
      </c>
      <c r="CN21" s="2"/>
    </row>
    <row r="22" spans="1:92" x14ac:dyDescent="0.25">
      <c r="A22" s="1"/>
      <c r="B22" s="10">
        <v>19</v>
      </c>
      <c r="C22" s="4">
        <v>-2.0810495495381298</v>
      </c>
      <c r="D22" s="45">
        <v>0</v>
      </c>
      <c r="E22" s="1"/>
      <c r="F22" s="13">
        <v>-1.34738136129875</v>
      </c>
      <c r="G22" s="5">
        <v>-0.76137589916465598</v>
      </c>
      <c r="H22" s="5">
        <v>0.84495080921130705</v>
      </c>
      <c r="I22" s="5">
        <v>-0.207852947118042</v>
      </c>
      <c r="J22" s="5">
        <v>-2.69957885563985E-2</v>
      </c>
      <c r="K22" s="5">
        <v>0.65332039723378499</v>
      </c>
      <c r="L22" s="5">
        <v>1.5719416109061499</v>
      </c>
      <c r="M22" s="5">
        <v>-0.92057907160016095</v>
      </c>
      <c r="N22" s="5">
        <v>-0.64275358759630596</v>
      </c>
      <c r="O22" s="5">
        <v>-5.48008954432605E-2</v>
      </c>
      <c r="P22" s="5">
        <v>3.6094076136446997E-4</v>
      </c>
      <c r="Q22" s="5">
        <v>7.5558207879776296E-2</v>
      </c>
      <c r="R22" s="5">
        <v>-0.22094579075656001</v>
      </c>
      <c r="S22" s="5">
        <v>0.86242043911274302</v>
      </c>
      <c r="T22" s="5">
        <v>-0.64315702867429403</v>
      </c>
      <c r="U22" s="5">
        <v>0.14423326121792701</v>
      </c>
      <c r="V22" s="5">
        <v>0.69985713116894099</v>
      </c>
      <c r="W22" s="5">
        <v>0.26530616471912799</v>
      </c>
      <c r="X22" s="13">
        <v>0</v>
      </c>
      <c r="Y22" s="5">
        <v>-0.30525218764474599</v>
      </c>
      <c r="Z22" s="5">
        <v>-1.51960926393394</v>
      </c>
      <c r="AA22" s="5">
        <v>-0.33322338043646499</v>
      </c>
      <c r="AB22" s="5">
        <v>0.23050881025188799</v>
      </c>
      <c r="AC22" s="5">
        <v>0.298253837986107</v>
      </c>
      <c r="AD22" s="5">
        <v>-0.36664155285211603</v>
      </c>
      <c r="AE22" s="5">
        <v>0.14290744819338499</v>
      </c>
      <c r="AF22" s="5">
        <v>-0.81257225324690097</v>
      </c>
      <c r="AG22" s="5">
        <v>-1.49048333217549</v>
      </c>
      <c r="AH22" s="5">
        <v>-4.2460111167729103E-2</v>
      </c>
      <c r="AI22" s="5">
        <v>-1.65661371108706</v>
      </c>
      <c r="AJ22" s="1"/>
      <c r="AK22" s="26">
        <v>0</v>
      </c>
      <c r="AL22" s="15">
        <f t="shared" si="0"/>
        <v>0</v>
      </c>
      <c r="AM22" s="37">
        <f t="shared" si="1"/>
        <v>0</v>
      </c>
      <c r="AN22" s="1"/>
      <c r="AO22" s="48">
        <v>0.2</v>
      </c>
      <c r="AP22" s="48">
        <v>0.2</v>
      </c>
      <c r="AQ22" s="47">
        <f t="shared" si="2"/>
        <v>0</v>
      </c>
      <c r="AR22" s="36"/>
      <c r="AS22" s="40">
        <v>19</v>
      </c>
      <c r="AT22" s="53" cm="1">
        <f t="array" ref="AT22">ROUND(INDEX($D$4:$D$33,$AS22)*INDEX($AK$4:$AK$33,AT$3)*$AV$1,0)</f>
        <v>0</v>
      </c>
      <c r="AU22" s="53" cm="1">
        <f t="array" ref="AU22">ROUND(INDEX($D$4:$D$33,$AS22)*INDEX($AK$4:$AK$33,AU$3)*$AV$1,0)</f>
        <v>0</v>
      </c>
      <c r="AV22" s="53" cm="1">
        <f t="array" ref="AV22">ROUND(INDEX($D$4:$D$33,$AS22)*INDEX($AK$4:$AK$33,AV$3)*$AV$1,0)</f>
        <v>0</v>
      </c>
      <c r="AW22" s="53" cm="1">
        <f t="array" ref="AW22">ROUND(INDEX($D$4:$D$33,$AS22)*INDEX($AK$4:$AK$33,AW$3)*$AV$1,0)</f>
        <v>0</v>
      </c>
      <c r="AX22" s="53" cm="1">
        <f t="array" ref="AX22">ROUND(INDEX($D$4:$D$33,$AS22)*INDEX($AK$4:$AK$33,AX$3)*$AV$1,0)</f>
        <v>0</v>
      </c>
      <c r="AY22" s="53" cm="1">
        <f t="array" ref="AY22">ROUND(INDEX($D$4:$D$33,$AS22)*INDEX($AK$4:$AK$33,AY$3)*$AV$1,0)</f>
        <v>0</v>
      </c>
      <c r="AZ22" s="53" cm="1">
        <f t="array" ref="AZ22">ROUND(INDEX($D$4:$D$33,$AS22)*INDEX($AK$4:$AK$33,AZ$3)*$AV$1,0)</f>
        <v>0</v>
      </c>
      <c r="BA22" s="53" cm="1">
        <f t="array" ref="BA22">ROUND(INDEX($D$4:$D$33,$AS22)*INDEX($AK$4:$AK$33,BA$3)*$AV$1,0)</f>
        <v>0</v>
      </c>
      <c r="BB22" s="53" cm="1">
        <f t="array" ref="BB22">ROUND(INDEX($D$4:$D$33,$AS22)*INDEX($AK$4:$AK$33,BB$3)*$AV$1,0)</f>
        <v>0</v>
      </c>
      <c r="BC22" s="53" cm="1">
        <f t="array" ref="BC22">ROUND(INDEX($D$4:$D$33,$AS22)*INDEX($AK$4:$AK$33,BC$3)*$AV$1,0)</f>
        <v>0</v>
      </c>
      <c r="BD22" s="53" cm="1">
        <f t="array" ref="BD22">ROUND(INDEX($D$4:$D$33,$AS22)*INDEX($AK$4:$AK$33,BD$3)*$AV$1,0)</f>
        <v>0</v>
      </c>
      <c r="BE22" s="53" cm="1">
        <f t="array" ref="BE22">ROUND(INDEX($D$4:$D$33,$AS22)*INDEX($AK$4:$AK$33,BE$3)*$AV$1,0)</f>
        <v>0</v>
      </c>
      <c r="BF22" s="53" cm="1">
        <f t="array" ref="BF22">ROUND(INDEX($D$4:$D$33,$AS22)*INDEX($AK$4:$AK$33,BF$3)*$AV$1,0)</f>
        <v>0</v>
      </c>
      <c r="BG22" s="53" cm="1">
        <f t="array" ref="BG22">ROUND(INDEX($D$4:$D$33,$AS22)*INDEX($AK$4:$AK$33,BG$3)*$AV$1,0)</f>
        <v>0</v>
      </c>
      <c r="BH22" s="53" cm="1">
        <f t="array" ref="BH22">ROUND(INDEX($D$4:$D$33,$AS22)*INDEX($AK$4:$AK$33,BH$3)*$AV$1,0)</f>
        <v>0</v>
      </c>
      <c r="BI22" s="53" cm="1">
        <f t="array" ref="BI22">ROUND(INDEX($D$4:$D$33,$AS22)*INDEX($AK$4:$AK$33,BI$3)*$AV$1,0)</f>
        <v>0</v>
      </c>
      <c r="BJ22" s="53" cm="1">
        <f t="array" ref="BJ22">ROUND(INDEX($D$4:$D$33,$AS22)*INDEX($AK$4:$AK$33,BJ$3)*$AV$1,0)</f>
        <v>0</v>
      </c>
      <c r="BK22" s="53" cm="1">
        <f t="array" ref="BK22">ROUND(INDEX($D$4:$D$33,$AS22)*INDEX($AK$4:$AK$33,BK$3)*$AV$1,0)</f>
        <v>0</v>
      </c>
      <c r="BL22" s="52" cm="1">
        <f t="array" ref="BL22">ROUND(INDEX($D$4:$D$33,$AS22)*INDEX($AK$4:$AK$33,BL$3)*$AV$1,0)</f>
        <v>0</v>
      </c>
      <c r="BM22" s="53" cm="1">
        <f t="array" ref="BM22">ROUND(INDEX($D$4:$D$33,$AS22)*INDEX($AK$4:$AK$33,BM$3)*$AV$1,0)</f>
        <v>0</v>
      </c>
      <c r="BN22" s="53" cm="1">
        <f t="array" ref="BN22">ROUND(INDEX($D$4:$D$33,$AS22)*INDEX($AK$4:$AK$33,BN$3)*$AV$1,0)</f>
        <v>0</v>
      </c>
      <c r="BO22" s="53" cm="1">
        <f t="array" ref="BO22">ROUND(INDEX($D$4:$D$33,$AS22)*INDEX($AK$4:$AK$33,BO$3)*$AV$1,0)</f>
        <v>0</v>
      </c>
      <c r="BP22" s="53" cm="1">
        <f t="array" ref="BP22">ROUND(INDEX($D$4:$D$33,$AS22)*INDEX($AK$4:$AK$33,BP$3)*$AV$1,0)</f>
        <v>0</v>
      </c>
      <c r="BQ22" s="53" cm="1">
        <f t="array" ref="BQ22">ROUND(INDEX($D$4:$D$33,$AS22)*INDEX($AK$4:$AK$33,BQ$3)*$AV$1,0)</f>
        <v>0</v>
      </c>
      <c r="BR22" s="53" cm="1">
        <f t="array" ref="BR22">ROUND(INDEX($D$4:$D$33,$AS22)*INDEX($AK$4:$AK$33,BR$3)*$AV$1,0)</f>
        <v>0</v>
      </c>
      <c r="BS22" s="53" cm="1">
        <f t="array" ref="BS22">ROUND(INDEX($D$4:$D$33,$AS22)*INDEX($AK$4:$AK$33,BS$3)*$AV$1,0)</f>
        <v>0</v>
      </c>
      <c r="BT22" s="53" cm="1">
        <f t="array" ref="BT22">ROUND(INDEX($D$4:$D$33,$AS22)*INDEX($AK$4:$AK$33,BT$3)*$AV$1,0)</f>
        <v>0</v>
      </c>
      <c r="BU22" s="53" cm="1">
        <f t="array" ref="BU22">ROUND(INDEX($D$4:$D$33,$AS22)*INDEX($AK$4:$AK$33,BU$3)*$AV$1,0)</f>
        <v>0</v>
      </c>
      <c r="BV22" s="53" cm="1">
        <f t="array" ref="BV22">ROUND(INDEX($D$4:$D$33,$AS22)*INDEX($AK$4:$AK$33,BV$3)*$AV$1,0)</f>
        <v>0</v>
      </c>
      <c r="BW22" s="53" cm="1">
        <f t="array" ref="BW22">ROUND(INDEX($D$4:$D$33,$AS22)*INDEX($AK$4:$AK$33,BW$3)*$AV$1,0)</f>
        <v>0</v>
      </c>
      <c r="BX22" s="38">
        <f t="shared" si="3"/>
        <v>0</v>
      </c>
      <c r="BZ22">
        <f>BX22+BL34</f>
        <v>0</v>
      </c>
      <c r="CA22" s="39">
        <v>19</v>
      </c>
      <c r="CD22">
        <v>0.568112532718829</v>
      </c>
      <c r="CN22" s="2"/>
    </row>
    <row r="23" spans="1:92" x14ac:dyDescent="0.25">
      <c r="A23" s="1"/>
      <c r="B23" s="10">
        <v>20</v>
      </c>
      <c r="C23" s="4">
        <v>-4.4753128525147803E-2</v>
      </c>
      <c r="D23" s="45">
        <v>0</v>
      </c>
      <c r="E23" s="1"/>
      <c r="F23" s="13">
        <v>0.54829275156579604</v>
      </c>
      <c r="G23" s="5">
        <v>0.65205850657589703</v>
      </c>
      <c r="H23" s="5">
        <v>1.0921517707169399</v>
      </c>
      <c r="I23" s="5">
        <v>-0.71386832252584298</v>
      </c>
      <c r="J23" s="5">
        <v>0.60578288968523197</v>
      </c>
      <c r="K23" s="5">
        <v>0.23001231850234799</v>
      </c>
      <c r="L23" s="5">
        <v>0.88560793846395502</v>
      </c>
      <c r="M23" s="5">
        <v>0.155675627749193</v>
      </c>
      <c r="N23" s="5">
        <v>0.57643110280546395</v>
      </c>
      <c r="O23" s="5">
        <v>0.80569316291118898</v>
      </c>
      <c r="P23" s="5">
        <v>-0.29112360880141303</v>
      </c>
      <c r="Q23" s="5">
        <v>-0.326022257266115</v>
      </c>
      <c r="R23" s="5">
        <v>-0.93977928822118595</v>
      </c>
      <c r="S23" s="5">
        <v>-6.18719720343388E-2</v>
      </c>
      <c r="T23" s="5">
        <v>0.251338266530793</v>
      </c>
      <c r="U23" s="5">
        <v>-0.52547843377165404</v>
      </c>
      <c r="V23" s="5">
        <v>5.0933385325006297E-2</v>
      </c>
      <c r="W23" s="5">
        <v>-0.25201523313128898</v>
      </c>
      <c r="X23" s="5">
        <v>-0.30525218764474599</v>
      </c>
      <c r="Y23" s="13">
        <v>0</v>
      </c>
      <c r="Z23" s="5">
        <v>-1.1562869303799801</v>
      </c>
      <c r="AA23" s="5">
        <v>1.2269910886197499</v>
      </c>
      <c r="AB23" s="5">
        <v>0.65395827752189095</v>
      </c>
      <c r="AC23" s="5">
        <v>-0.25654466379063001</v>
      </c>
      <c r="AD23" s="5">
        <v>0.37828975634837098</v>
      </c>
      <c r="AE23" s="5">
        <v>0.61960257545445796</v>
      </c>
      <c r="AF23" s="5">
        <v>-0.92492516117919998</v>
      </c>
      <c r="AG23" s="5">
        <v>-0.38879342444725101</v>
      </c>
      <c r="AH23" s="5">
        <v>0.97983129588014894</v>
      </c>
      <c r="AI23" s="5">
        <v>-0.65517921720258798</v>
      </c>
      <c r="AJ23" s="1"/>
      <c r="AK23" s="26">
        <v>0</v>
      </c>
      <c r="AL23" s="15">
        <f t="shared" si="0"/>
        <v>0</v>
      </c>
      <c r="AM23" s="37">
        <f t="shared" si="1"/>
        <v>0</v>
      </c>
      <c r="AN23" s="1"/>
      <c r="AO23" s="48">
        <v>0.2</v>
      </c>
      <c r="AP23" s="48">
        <v>0.2</v>
      </c>
      <c r="AQ23" s="47">
        <f t="shared" si="2"/>
        <v>0</v>
      </c>
      <c r="AR23" s="36"/>
      <c r="AS23" s="40">
        <v>20</v>
      </c>
      <c r="AT23" s="53" cm="1">
        <f t="array" ref="AT23">ROUND(INDEX($D$4:$D$33,$AS23)*INDEX($AK$4:$AK$33,AT$3)*$AV$1,0)</f>
        <v>0</v>
      </c>
      <c r="AU23" s="53" cm="1">
        <f t="array" ref="AU23">ROUND(INDEX($D$4:$D$33,$AS23)*INDEX($AK$4:$AK$33,AU$3)*$AV$1,0)</f>
        <v>0</v>
      </c>
      <c r="AV23" s="53" cm="1">
        <f t="array" ref="AV23">ROUND(INDEX($D$4:$D$33,$AS23)*INDEX($AK$4:$AK$33,AV$3)*$AV$1,0)</f>
        <v>0</v>
      </c>
      <c r="AW23" s="53" cm="1">
        <f t="array" ref="AW23">ROUND(INDEX($D$4:$D$33,$AS23)*INDEX($AK$4:$AK$33,AW$3)*$AV$1,0)</f>
        <v>0</v>
      </c>
      <c r="AX23" s="53" cm="1">
        <f t="array" ref="AX23">ROUND(INDEX($D$4:$D$33,$AS23)*INDEX($AK$4:$AK$33,AX$3)*$AV$1,0)</f>
        <v>0</v>
      </c>
      <c r="AY23" s="53" cm="1">
        <f t="array" ref="AY23">ROUND(INDEX($D$4:$D$33,$AS23)*INDEX($AK$4:$AK$33,AY$3)*$AV$1,0)</f>
        <v>0</v>
      </c>
      <c r="AZ23" s="53" cm="1">
        <f t="array" ref="AZ23">ROUND(INDEX($D$4:$D$33,$AS23)*INDEX($AK$4:$AK$33,AZ$3)*$AV$1,0)</f>
        <v>0</v>
      </c>
      <c r="BA23" s="53" cm="1">
        <f t="array" ref="BA23">ROUND(INDEX($D$4:$D$33,$AS23)*INDEX($AK$4:$AK$33,BA$3)*$AV$1,0)</f>
        <v>0</v>
      </c>
      <c r="BB23" s="53" cm="1">
        <f t="array" ref="BB23">ROUND(INDEX($D$4:$D$33,$AS23)*INDEX($AK$4:$AK$33,BB$3)*$AV$1,0)</f>
        <v>0</v>
      </c>
      <c r="BC23" s="53" cm="1">
        <f t="array" ref="BC23">ROUND(INDEX($D$4:$D$33,$AS23)*INDEX($AK$4:$AK$33,BC$3)*$AV$1,0)</f>
        <v>0</v>
      </c>
      <c r="BD23" s="53" cm="1">
        <f t="array" ref="BD23">ROUND(INDEX($D$4:$D$33,$AS23)*INDEX($AK$4:$AK$33,BD$3)*$AV$1,0)</f>
        <v>0</v>
      </c>
      <c r="BE23" s="53" cm="1">
        <f t="array" ref="BE23">ROUND(INDEX($D$4:$D$33,$AS23)*INDEX($AK$4:$AK$33,BE$3)*$AV$1,0)</f>
        <v>0</v>
      </c>
      <c r="BF23" s="53" cm="1">
        <f t="array" ref="BF23">ROUND(INDEX($D$4:$D$33,$AS23)*INDEX($AK$4:$AK$33,BF$3)*$AV$1,0)</f>
        <v>0</v>
      </c>
      <c r="BG23" s="53" cm="1">
        <f t="array" ref="BG23">ROUND(INDEX($D$4:$D$33,$AS23)*INDEX($AK$4:$AK$33,BG$3)*$AV$1,0)</f>
        <v>0</v>
      </c>
      <c r="BH23" s="53" cm="1">
        <f t="array" ref="BH23">ROUND(INDEX($D$4:$D$33,$AS23)*INDEX($AK$4:$AK$33,BH$3)*$AV$1,0)</f>
        <v>0</v>
      </c>
      <c r="BI23" s="53" cm="1">
        <f t="array" ref="BI23">ROUND(INDEX($D$4:$D$33,$AS23)*INDEX($AK$4:$AK$33,BI$3)*$AV$1,0)</f>
        <v>0</v>
      </c>
      <c r="BJ23" s="53" cm="1">
        <f t="array" ref="BJ23">ROUND(INDEX($D$4:$D$33,$AS23)*INDEX($AK$4:$AK$33,BJ$3)*$AV$1,0)</f>
        <v>0</v>
      </c>
      <c r="BK23" s="53" cm="1">
        <f t="array" ref="BK23">ROUND(INDEX($D$4:$D$33,$AS23)*INDEX($AK$4:$AK$33,BK$3)*$AV$1,0)</f>
        <v>0</v>
      </c>
      <c r="BL23" s="53" cm="1">
        <f t="array" ref="BL23">ROUND(INDEX($D$4:$D$33,$AS23)*INDEX($AK$4:$AK$33,BL$3)*$AV$1,0)</f>
        <v>0</v>
      </c>
      <c r="BM23" s="52" cm="1">
        <f t="array" ref="BM23">ROUND(INDEX($D$4:$D$33,$AS23)*INDEX($AK$4:$AK$33,BM$3)*$AV$1,0)</f>
        <v>0</v>
      </c>
      <c r="BN23" s="53" cm="1">
        <f t="array" ref="BN23">ROUND(INDEX($D$4:$D$33,$AS23)*INDEX($AK$4:$AK$33,BN$3)*$AV$1,0)</f>
        <v>0</v>
      </c>
      <c r="BO23" s="53" cm="1">
        <f t="array" ref="BO23">ROUND(INDEX($D$4:$D$33,$AS23)*INDEX($AK$4:$AK$33,BO$3)*$AV$1,0)</f>
        <v>0</v>
      </c>
      <c r="BP23" s="53" cm="1">
        <f t="array" ref="BP23">ROUND(INDEX($D$4:$D$33,$AS23)*INDEX($AK$4:$AK$33,BP$3)*$AV$1,0)</f>
        <v>0</v>
      </c>
      <c r="BQ23" s="53" cm="1">
        <f t="array" ref="BQ23">ROUND(INDEX($D$4:$D$33,$AS23)*INDEX($AK$4:$AK$33,BQ$3)*$AV$1,0)</f>
        <v>0</v>
      </c>
      <c r="BR23" s="53" cm="1">
        <f t="array" ref="BR23">ROUND(INDEX($D$4:$D$33,$AS23)*INDEX($AK$4:$AK$33,BR$3)*$AV$1,0)</f>
        <v>0</v>
      </c>
      <c r="BS23" s="53" cm="1">
        <f t="array" ref="BS23">ROUND(INDEX($D$4:$D$33,$AS23)*INDEX($AK$4:$AK$33,BS$3)*$AV$1,0)</f>
        <v>0</v>
      </c>
      <c r="BT23" s="53" cm="1">
        <f t="array" ref="BT23">ROUND(INDEX($D$4:$D$33,$AS23)*INDEX($AK$4:$AK$33,BT$3)*$AV$1,0)</f>
        <v>0</v>
      </c>
      <c r="BU23" s="53" cm="1">
        <f t="array" ref="BU23">ROUND(INDEX($D$4:$D$33,$AS23)*INDEX($AK$4:$AK$33,BU$3)*$AV$1,0)</f>
        <v>0</v>
      </c>
      <c r="BV23" s="53" cm="1">
        <f t="array" ref="BV23">ROUND(INDEX($D$4:$D$33,$AS23)*INDEX($AK$4:$AK$33,BV$3)*$AV$1,0)</f>
        <v>0</v>
      </c>
      <c r="BW23" s="53" cm="1">
        <f t="array" ref="BW23">ROUND(INDEX($D$4:$D$33,$AS23)*INDEX($AK$4:$AK$33,BW$3)*$AV$1,0)</f>
        <v>0</v>
      </c>
      <c r="BX23" s="38">
        <f t="shared" si="3"/>
        <v>0</v>
      </c>
      <c r="BZ23">
        <f>BX23+BM34</f>
        <v>0</v>
      </c>
      <c r="CA23" s="39">
        <v>20</v>
      </c>
      <c r="CD23">
        <v>0.72505214984788802</v>
      </c>
      <c r="CN23" s="2"/>
    </row>
    <row r="24" spans="1:92" x14ac:dyDescent="0.25">
      <c r="A24" s="1"/>
      <c r="B24" s="10">
        <v>21</v>
      </c>
      <c r="C24" s="4">
        <v>1.1179549942646101</v>
      </c>
      <c r="D24" s="45">
        <v>0.11370974213789377</v>
      </c>
      <c r="E24" s="1"/>
      <c r="F24" s="13">
        <v>-0.48096575605381903</v>
      </c>
      <c r="G24" s="5">
        <v>-1.2483209207069501</v>
      </c>
      <c r="H24" s="34">
        <v>-0.68134527140788304</v>
      </c>
      <c r="I24" s="5">
        <v>-0.45653121574667499</v>
      </c>
      <c r="J24" s="5">
        <v>0.31998546060890398</v>
      </c>
      <c r="K24" s="5">
        <v>0.43451585971442103</v>
      </c>
      <c r="L24" s="5">
        <v>-0.55529141827330997</v>
      </c>
      <c r="M24" s="5">
        <v>0.58560900210076805</v>
      </c>
      <c r="N24" s="5">
        <v>0.47193509271107698</v>
      </c>
      <c r="O24" s="5">
        <v>-8.8742525545002199E-2</v>
      </c>
      <c r="P24" s="5">
        <v>-0.67262038522089296</v>
      </c>
      <c r="Q24" s="5">
        <v>0.63076753069080904</v>
      </c>
      <c r="R24" s="5">
        <v>-9.1727009021761105E-2</v>
      </c>
      <c r="S24" s="5">
        <v>-0.71664220904797504</v>
      </c>
      <c r="T24" s="5">
        <v>0.178393860022203</v>
      </c>
      <c r="U24" s="5">
        <v>0.37023073489536501</v>
      </c>
      <c r="V24" s="5">
        <v>-1.03352822621116</v>
      </c>
      <c r="W24" s="5">
        <v>1.3197480538078099</v>
      </c>
      <c r="X24" s="5">
        <v>-1.51960926393394</v>
      </c>
      <c r="Y24" s="5">
        <v>-1.1562869303799801</v>
      </c>
      <c r="Z24" s="13">
        <v>0</v>
      </c>
      <c r="AA24" s="5">
        <v>-0.54979683008365299</v>
      </c>
      <c r="AB24" s="5">
        <v>0.15223388862579099</v>
      </c>
      <c r="AC24" s="5">
        <v>-0.61809276820024195</v>
      </c>
      <c r="AD24" s="5">
        <v>4.0593508965108702E-2</v>
      </c>
      <c r="AE24" s="5">
        <v>0.57130574403911505</v>
      </c>
      <c r="AF24" s="5">
        <v>0.45706177642260598</v>
      </c>
      <c r="AG24" s="5">
        <v>6.6652411693714095E-2</v>
      </c>
      <c r="AH24" s="5">
        <v>0.86112584927744396</v>
      </c>
      <c r="AI24" s="5">
        <v>0.79872485015633399</v>
      </c>
      <c r="AJ24" s="1"/>
      <c r="AK24" s="26">
        <v>0</v>
      </c>
      <c r="AL24" s="15">
        <f t="shared" si="0"/>
        <v>0.12712237411959931</v>
      </c>
      <c r="AM24" s="37">
        <f t="shared" si="1"/>
        <v>5.6854871068946888</v>
      </c>
      <c r="AN24" s="1"/>
      <c r="AO24" s="48">
        <v>0.2</v>
      </c>
      <c r="AP24" s="48">
        <v>0.2</v>
      </c>
      <c r="AQ24" s="47">
        <f t="shared" si="2"/>
        <v>5.6854871068946884E-2</v>
      </c>
      <c r="AR24" s="36"/>
      <c r="AS24" s="40">
        <v>21</v>
      </c>
      <c r="AT24" s="53" cm="1">
        <f t="array" ref="AT24">ROUND(INDEX($D$4:$D$33,$AS24)*INDEX($AK$4:$AK$33,AT$3)*$AV$1,0)</f>
        <v>0</v>
      </c>
      <c r="AU24" s="53" cm="1">
        <f t="array" ref="AU24">ROUND(INDEX($D$4:$D$33,$AS24)*INDEX($AK$4:$AK$33,AU$3)*$AV$1,0)</f>
        <v>0</v>
      </c>
      <c r="AV24" s="53" cm="1">
        <f t="array" ref="AV24">ROUND(INDEX($D$4:$D$33,$AS24)*INDEX($AK$4:$AK$33,AV$3)*$AV$1,0)</f>
        <v>0</v>
      </c>
      <c r="AW24" s="53" cm="1">
        <f t="array" ref="AW24">ROUND(INDEX($D$4:$D$33,$AS24)*INDEX($AK$4:$AK$33,AW$3)*$AV$1,0)</f>
        <v>0</v>
      </c>
      <c r="AX24" s="53" cm="1">
        <f t="array" ref="AX24">ROUND(INDEX($D$4:$D$33,$AS24)*INDEX($AK$4:$AK$33,AX$3)*$AV$1,0)</f>
        <v>0</v>
      </c>
      <c r="AY24" s="53" cm="1">
        <f t="array" ref="AY24">ROUND(INDEX($D$4:$D$33,$AS24)*INDEX($AK$4:$AK$33,AY$3)*$AV$1,0)</f>
        <v>0</v>
      </c>
      <c r="AZ24" s="53" cm="1">
        <f t="array" ref="AZ24">ROUND(INDEX($D$4:$D$33,$AS24)*INDEX($AK$4:$AK$33,AZ$3)*$AV$1,0)</f>
        <v>0</v>
      </c>
      <c r="BA24" s="53" cm="1">
        <f t="array" ref="BA24">ROUND(INDEX($D$4:$D$33,$AS24)*INDEX($AK$4:$AK$33,BA$3)*$AV$1,0)</f>
        <v>0</v>
      </c>
      <c r="BB24" s="53" cm="1">
        <f t="array" ref="BB24">ROUND(INDEX($D$4:$D$33,$AS24)*INDEX($AK$4:$AK$33,BB$3)*$AV$1,0)</f>
        <v>53</v>
      </c>
      <c r="BC24" s="53" cm="1">
        <f t="array" ref="BC24">ROUND(INDEX($D$4:$D$33,$AS24)*INDEX($AK$4:$AK$33,BC$3)*$AV$1,0)</f>
        <v>0</v>
      </c>
      <c r="BD24" s="53" cm="1">
        <f t="array" ref="BD24">ROUND(INDEX($D$4:$D$33,$AS24)*INDEX($AK$4:$AK$33,BD$3)*$AV$1,0)</f>
        <v>104</v>
      </c>
      <c r="BE24" s="53" cm="1">
        <f t="array" ref="BE24">ROUND(INDEX($D$4:$D$33,$AS24)*INDEX($AK$4:$AK$33,BE$3)*$AV$1,0)</f>
        <v>34</v>
      </c>
      <c r="BF24" s="53" cm="1">
        <f t="array" ref="BF24">ROUND(INDEX($D$4:$D$33,$AS24)*INDEX($AK$4:$AK$33,BF$3)*$AV$1,0)</f>
        <v>0</v>
      </c>
      <c r="BG24" s="53" cm="1">
        <f t="array" ref="BG24">ROUND(INDEX($D$4:$D$33,$AS24)*INDEX($AK$4:$AK$33,BG$3)*$AV$1,0)</f>
        <v>0</v>
      </c>
      <c r="BH24" s="53" cm="1">
        <f t="array" ref="BH24">ROUND(INDEX($D$4:$D$33,$AS24)*INDEX($AK$4:$AK$33,BH$3)*$AV$1,0)</f>
        <v>111</v>
      </c>
      <c r="BI24" s="53" cm="1">
        <f t="array" ref="BI24">ROUND(INDEX($D$4:$D$33,$AS24)*INDEX($AK$4:$AK$33,BI$3)*$AV$1,0)</f>
        <v>0</v>
      </c>
      <c r="BJ24" s="53" cm="1">
        <f t="array" ref="BJ24">ROUND(INDEX($D$4:$D$33,$AS24)*INDEX($AK$4:$AK$33,BJ$3)*$AV$1,0)</f>
        <v>17</v>
      </c>
      <c r="BK24" s="53" cm="1">
        <f t="array" ref="BK24">ROUND(INDEX($D$4:$D$33,$AS24)*INDEX($AK$4:$AK$33,BK$3)*$AV$1,0)</f>
        <v>0</v>
      </c>
      <c r="BL24" s="53" cm="1">
        <f t="array" ref="BL24">ROUND(INDEX($D$4:$D$33,$AS24)*INDEX($AK$4:$AK$33,BL$3)*$AV$1,0)</f>
        <v>0</v>
      </c>
      <c r="BM24" s="53" cm="1">
        <f t="array" ref="BM24">ROUND(INDEX($D$4:$D$33,$AS24)*INDEX($AK$4:$AK$33,BM$3)*$AV$1,0)</f>
        <v>0</v>
      </c>
      <c r="BN24" s="52" cm="1">
        <f t="array" ref="BN24">ROUND(INDEX($D$4:$D$33,$AS24)*INDEX($AK$4:$AK$33,BN$3)*$AV$1,0)</f>
        <v>0</v>
      </c>
      <c r="BO24" s="53" cm="1">
        <f t="array" ref="BO24">ROUND(INDEX($D$4:$D$33,$AS24)*INDEX($AK$4:$AK$33,BO$3)*$AV$1,0)</f>
        <v>0</v>
      </c>
      <c r="BP24" s="53" cm="1">
        <f t="array" ref="BP24">ROUND(INDEX($D$4:$D$33,$AS24)*INDEX($AK$4:$AK$33,BP$3)*$AV$1,0)</f>
        <v>0</v>
      </c>
      <c r="BQ24" s="53" cm="1">
        <f t="array" ref="BQ24">ROUND(INDEX($D$4:$D$33,$AS24)*INDEX($AK$4:$AK$33,BQ$3)*$AV$1,0)</f>
        <v>7</v>
      </c>
      <c r="BR24" s="53" cm="1">
        <f t="array" ref="BR24">ROUND(INDEX($D$4:$D$33,$AS24)*INDEX($AK$4:$AK$33,BR$3)*$AV$1,0)</f>
        <v>0</v>
      </c>
      <c r="BS24" s="53" cm="1">
        <f t="array" ref="BS24">ROUND(INDEX($D$4:$D$33,$AS24)*INDEX($AK$4:$AK$33,BS$3)*$AV$1,0)</f>
        <v>0</v>
      </c>
      <c r="BT24" s="53" cm="1">
        <f t="array" ref="BT24">ROUND(INDEX($D$4:$D$33,$AS24)*INDEX($AK$4:$AK$33,BT$3)*$AV$1,0)</f>
        <v>47</v>
      </c>
      <c r="BU24" s="53" cm="1">
        <f t="array" ref="BU24">ROUND(INDEX($D$4:$D$33,$AS24)*INDEX($AK$4:$AK$33,BU$3)*$AV$1,0)</f>
        <v>0</v>
      </c>
      <c r="BV24" s="53" cm="1">
        <f t="array" ref="BV24">ROUND(INDEX($D$4:$D$33,$AS24)*INDEX($AK$4:$AK$33,BV$3)*$AV$1,0)</f>
        <v>80</v>
      </c>
      <c r="BW24" s="53" cm="1">
        <f t="array" ref="BW24">ROUND(INDEX($D$4:$D$33,$AS24)*INDEX($AK$4:$AK$33,BW$3)*$AV$1,0)</f>
        <v>114</v>
      </c>
      <c r="BX24" s="38">
        <f t="shared" si="3"/>
        <v>567</v>
      </c>
      <c r="BZ24">
        <f>BX24+BN34</f>
        <v>567</v>
      </c>
      <c r="CA24" s="39">
        <v>21</v>
      </c>
      <c r="CD24">
        <v>-1.0248550139501</v>
      </c>
      <c r="CN24" s="2"/>
    </row>
    <row r="25" spans="1:92" x14ac:dyDescent="0.25">
      <c r="A25" s="1"/>
      <c r="B25" s="10">
        <v>22</v>
      </c>
      <c r="C25" s="4">
        <v>-1.64950358816825</v>
      </c>
      <c r="D25" s="45">
        <v>0</v>
      </c>
      <c r="E25" s="1"/>
      <c r="F25" s="13">
        <v>-0.27486141415267401</v>
      </c>
      <c r="G25" s="5">
        <v>0.72726529968932996</v>
      </c>
      <c r="H25" s="5">
        <v>-0.16950786483098801</v>
      </c>
      <c r="I25" s="5">
        <v>-0.31934552091156598</v>
      </c>
      <c r="J25" s="5">
        <v>-0.692446492583772</v>
      </c>
      <c r="K25" s="5">
        <v>-0.80146826210301103</v>
      </c>
      <c r="L25" s="5">
        <v>1.5641833208801002E-2</v>
      </c>
      <c r="M25" s="5">
        <v>0.73556040040030901</v>
      </c>
      <c r="N25" s="5">
        <v>0.87079074971359904</v>
      </c>
      <c r="O25" s="5">
        <v>0.39610666753248203</v>
      </c>
      <c r="P25" s="5">
        <v>-0.21852333910169</v>
      </c>
      <c r="Q25" s="5">
        <v>-0.25993534064974699</v>
      </c>
      <c r="R25" s="5">
        <v>0.258541831619507</v>
      </c>
      <c r="S25" s="5">
        <v>0.662869261614079</v>
      </c>
      <c r="T25" s="5">
        <v>0.68889432807512196</v>
      </c>
      <c r="U25" s="5">
        <v>-1.49830551789533</v>
      </c>
      <c r="V25" s="5">
        <v>-3.28555344892935E-2</v>
      </c>
      <c r="W25" s="5">
        <v>-0.68361733374469902</v>
      </c>
      <c r="X25" s="5">
        <v>-0.33322338043646499</v>
      </c>
      <c r="Y25" s="5">
        <v>1.2269910886197499</v>
      </c>
      <c r="Z25" s="5">
        <v>-0.54979683008365299</v>
      </c>
      <c r="AA25" s="13">
        <v>0</v>
      </c>
      <c r="AB25" s="5">
        <v>0.25897736801827698</v>
      </c>
      <c r="AC25" s="5">
        <v>0.65873635814939002</v>
      </c>
      <c r="AD25" s="5">
        <v>0.75364653953870897</v>
      </c>
      <c r="AE25" s="5">
        <v>-1.13372828993182</v>
      </c>
      <c r="AF25" s="5">
        <v>-0.98231524750815502</v>
      </c>
      <c r="AG25" s="5">
        <v>-2.70254795658053E-2</v>
      </c>
      <c r="AH25" s="5">
        <v>-1.0571605774850099</v>
      </c>
      <c r="AI25" s="5">
        <v>-0.38829179953992798</v>
      </c>
      <c r="AJ25" s="1"/>
      <c r="AK25" s="26">
        <v>0</v>
      </c>
      <c r="AL25" s="15">
        <f t="shared" si="0"/>
        <v>0</v>
      </c>
      <c r="AM25" s="37">
        <f t="shared" si="1"/>
        <v>0</v>
      </c>
      <c r="AN25" s="1"/>
      <c r="AO25" s="48">
        <v>0.2</v>
      </c>
      <c r="AP25" s="48">
        <v>0.2</v>
      </c>
      <c r="AQ25" s="47">
        <f t="shared" si="2"/>
        <v>0</v>
      </c>
      <c r="AR25" s="36"/>
      <c r="AS25" s="40">
        <v>22</v>
      </c>
      <c r="AT25" s="53" cm="1">
        <f t="array" ref="AT25">ROUND(INDEX($D$4:$D$33,$AS25)*INDEX($AK$4:$AK$33,AT$3)*$AV$1,0)</f>
        <v>0</v>
      </c>
      <c r="AU25" s="53" cm="1">
        <f t="array" ref="AU25">ROUND(INDEX($D$4:$D$33,$AS25)*INDEX($AK$4:$AK$33,AU$3)*$AV$1,0)</f>
        <v>0</v>
      </c>
      <c r="AV25" s="53" cm="1">
        <f t="array" ref="AV25">ROUND(INDEX($D$4:$D$33,$AS25)*INDEX($AK$4:$AK$33,AV$3)*$AV$1,0)</f>
        <v>0</v>
      </c>
      <c r="AW25" s="53" cm="1">
        <f t="array" ref="AW25">ROUND(INDEX($D$4:$D$33,$AS25)*INDEX($AK$4:$AK$33,AW$3)*$AV$1,0)</f>
        <v>0</v>
      </c>
      <c r="AX25" s="53" cm="1">
        <f t="array" ref="AX25">ROUND(INDEX($D$4:$D$33,$AS25)*INDEX($AK$4:$AK$33,AX$3)*$AV$1,0)</f>
        <v>0</v>
      </c>
      <c r="AY25" s="53" cm="1">
        <f t="array" ref="AY25">ROUND(INDEX($D$4:$D$33,$AS25)*INDEX($AK$4:$AK$33,AY$3)*$AV$1,0)</f>
        <v>0</v>
      </c>
      <c r="AZ25" s="53" cm="1">
        <f t="array" ref="AZ25">ROUND(INDEX($D$4:$D$33,$AS25)*INDEX($AK$4:$AK$33,AZ$3)*$AV$1,0)</f>
        <v>0</v>
      </c>
      <c r="BA25" s="53" cm="1">
        <f t="array" ref="BA25">ROUND(INDEX($D$4:$D$33,$AS25)*INDEX($AK$4:$AK$33,BA$3)*$AV$1,0)</f>
        <v>0</v>
      </c>
      <c r="BB25" s="53" cm="1">
        <f t="array" ref="BB25">ROUND(INDEX($D$4:$D$33,$AS25)*INDEX($AK$4:$AK$33,BB$3)*$AV$1,0)</f>
        <v>0</v>
      </c>
      <c r="BC25" s="53" cm="1">
        <f t="array" ref="BC25">ROUND(INDEX($D$4:$D$33,$AS25)*INDEX($AK$4:$AK$33,BC$3)*$AV$1,0)</f>
        <v>0</v>
      </c>
      <c r="BD25" s="53" cm="1">
        <f t="array" ref="BD25">ROUND(INDEX($D$4:$D$33,$AS25)*INDEX($AK$4:$AK$33,BD$3)*$AV$1,0)</f>
        <v>0</v>
      </c>
      <c r="BE25" s="53" cm="1">
        <f t="array" ref="BE25">ROUND(INDEX($D$4:$D$33,$AS25)*INDEX($AK$4:$AK$33,BE$3)*$AV$1,0)</f>
        <v>0</v>
      </c>
      <c r="BF25" s="53" cm="1">
        <f t="array" ref="BF25">ROUND(INDEX($D$4:$D$33,$AS25)*INDEX($AK$4:$AK$33,BF$3)*$AV$1,0)</f>
        <v>0</v>
      </c>
      <c r="BG25" s="53" cm="1">
        <f t="array" ref="BG25">ROUND(INDEX($D$4:$D$33,$AS25)*INDEX($AK$4:$AK$33,BG$3)*$AV$1,0)</f>
        <v>0</v>
      </c>
      <c r="BH25" s="53" cm="1">
        <f t="array" ref="BH25">ROUND(INDEX($D$4:$D$33,$AS25)*INDEX($AK$4:$AK$33,BH$3)*$AV$1,0)</f>
        <v>0</v>
      </c>
      <c r="BI25" s="53" cm="1">
        <f t="array" ref="BI25">ROUND(INDEX($D$4:$D$33,$AS25)*INDEX($AK$4:$AK$33,BI$3)*$AV$1,0)</f>
        <v>0</v>
      </c>
      <c r="BJ25" s="53" cm="1">
        <f t="array" ref="BJ25">ROUND(INDEX($D$4:$D$33,$AS25)*INDEX($AK$4:$AK$33,BJ$3)*$AV$1,0)</f>
        <v>0</v>
      </c>
      <c r="BK25" s="53" cm="1">
        <f t="array" ref="BK25">ROUND(INDEX($D$4:$D$33,$AS25)*INDEX($AK$4:$AK$33,BK$3)*$AV$1,0)</f>
        <v>0</v>
      </c>
      <c r="BL25" s="53" cm="1">
        <f t="array" ref="BL25">ROUND(INDEX($D$4:$D$33,$AS25)*INDEX($AK$4:$AK$33,BL$3)*$AV$1,0)</f>
        <v>0</v>
      </c>
      <c r="BM25" s="53" cm="1">
        <f t="array" ref="BM25">ROUND(INDEX($D$4:$D$33,$AS25)*INDEX($AK$4:$AK$33,BM$3)*$AV$1,0)</f>
        <v>0</v>
      </c>
      <c r="BN25" s="53" cm="1">
        <f t="array" ref="BN25">ROUND(INDEX($D$4:$D$33,$AS25)*INDEX($AK$4:$AK$33,BN$3)*$AV$1,0)</f>
        <v>0</v>
      </c>
      <c r="BO25" s="52" cm="1">
        <f t="array" ref="BO25">ROUND(INDEX($D$4:$D$33,$AS25)*INDEX($AK$4:$AK$33,BO$3)*$AV$1,0)</f>
        <v>0</v>
      </c>
      <c r="BP25" s="53" cm="1">
        <f t="array" ref="BP25">ROUND(INDEX($D$4:$D$33,$AS25)*INDEX($AK$4:$AK$33,BP$3)*$AV$1,0)</f>
        <v>0</v>
      </c>
      <c r="BQ25" s="53" cm="1">
        <f t="array" ref="BQ25">ROUND(INDEX($D$4:$D$33,$AS25)*INDEX($AK$4:$AK$33,BQ$3)*$AV$1,0)</f>
        <v>0</v>
      </c>
      <c r="BR25" s="53" cm="1">
        <f t="array" ref="BR25">ROUND(INDEX($D$4:$D$33,$AS25)*INDEX($AK$4:$AK$33,BR$3)*$AV$1,0)</f>
        <v>0</v>
      </c>
      <c r="BS25" s="53" cm="1">
        <f t="array" ref="BS25">ROUND(INDEX($D$4:$D$33,$AS25)*INDEX($AK$4:$AK$33,BS$3)*$AV$1,0)</f>
        <v>0</v>
      </c>
      <c r="BT25" s="53" cm="1">
        <f t="array" ref="BT25">ROUND(INDEX($D$4:$D$33,$AS25)*INDEX($AK$4:$AK$33,BT$3)*$AV$1,0)</f>
        <v>0</v>
      </c>
      <c r="BU25" s="53" cm="1">
        <f t="array" ref="BU25">ROUND(INDEX($D$4:$D$33,$AS25)*INDEX($AK$4:$AK$33,BU$3)*$AV$1,0)</f>
        <v>0</v>
      </c>
      <c r="BV25" s="53" cm="1">
        <f t="array" ref="BV25">ROUND(INDEX($D$4:$D$33,$AS25)*INDEX($AK$4:$AK$33,BV$3)*$AV$1,0)</f>
        <v>0</v>
      </c>
      <c r="BW25" s="53" cm="1">
        <f t="array" ref="BW25">ROUND(INDEX($D$4:$D$33,$AS25)*INDEX($AK$4:$AK$33,BW$3)*$AV$1,0)</f>
        <v>0</v>
      </c>
      <c r="BX25" s="38">
        <f t="shared" si="3"/>
        <v>0</v>
      </c>
      <c r="BZ25">
        <f>BX25+BO34</f>
        <v>0</v>
      </c>
      <c r="CA25" s="39">
        <v>22</v>
      </c>
      <c r="CD25">
        <v>0.347267391448704</v>
      </c>
      <c r="CN25" s="2"/>
    </row>
    <row r="26" spans="1:92" x14ac:dyDescent="0.25">
      <c r="A26" s="1"/>
      <c r="B26" s="10">
        <v>23</v>
      </c>
      <c r="C26" s="4">
        <v>0.67866721586126699</v>
      </c>
      <c r="D26" s="45">
        <v>0.11307200298134377</v>
      </c>
      <c r="E26" s="1"/>
      <c r="F26" s="13">
        <v>0.40771738138442598</v>
      </c>
      <c r="G26" s="5">
        <v>0.240173956648113</v>
      </c>
      <c r="H26" s="5">
        <v>-0.475760604848394</v>
      </c>
      <c r="I26" s="5">
        <v>-0.37972601838554698</v>
      </c>
      <c r="J26" s="5">
        <v>-0.73550260096486497</v>
      </c>
      <c r="K26" s="5">
        <v>0.70518650879253897</v>
      </c>
      <c r="L26" s="5">
        <v>-1.8422923728735802E-2</v>
      </c>
      <c r="M26" s="5">
        <v>-0.46456858676021501</v>
      </c>
      <c r="N26" s="5">
        <v>0.47923852122444599</v>
      </c>
      <c r="O26" s="5">
        <v>-0.36121427986744098</v>
      </c>
      <c r="P26" s="5">
        <v>0.31537289734470197</v>
      </c>
      <c r="Q26" s="5">
        <v>1.07242261706188</v>
      </c>
      <c r="R26" s="5">
        <v>0.66309382271782602</v>
      </c>
      <c r="S26" s="5">
        <v>-0.11325211731823299</v>
      </c>
      <c r="T26" s="5">
        <v>-8.0495706772421002E-2</v>
      </c>
      <c r="U26" s="5">
        <v>1.3697550476018201</v>
      </c>
      <c r="V26" s="5">
        <v>-0.12077299394431799</v>
      </c>
      <c r="W26" s="5">
        <v>0.212958313617024</v>
      </c>
      <c r="X26" s="5">
        <v>0.23050881025188799</v>
      </c>
      <c r="Y26" s="5">
        <v>0.65395827752189095</v>
      </c>
      <c r="Z26" s="5">
        <v>0.15223388862579099</v>
      </c>
      <c r="AA26" s="5">
        <v>0.25897736801827698</v>
      </c>
      <c r="AB26" s="13">
        <v>0</v>
      </c>
      <c r="AC26" s="5">
        <v>0.42429381047056702</v>
      </c>
      <c r="AD26" s="5">
        <v>1.1460338473629601</v>
      </c>
      <c r="AE26" s="5">
        <v>-1.67022289683854</v>
      </c>
      <c r="AF26" s="5">
        <v>-0.94800575823734401</v>
      </c>
      <c r="AG26" s="5">
        <v>1.33143069926559</v>
      </c>
      <c r="AH26" s="5">
        <v>2.6363132847846402E-2</v>
      </c>
      <c r="AI26" s="5">
        <v>0.20062861118400899</v>
      </c>
      <c r="AJ26" s="1"/>
      <c r="AK26" s="26">
        <v>0</v>
      </c>
      <c r="AL26" s="15">
        <f t="shared" si="0"/>
        <v>7.6738261455205459E-2</v>
      </c>
      <c r="AM26" s="37">
        <f t="shared" si="1"/>
        <v>5.6536001490671888</v>
      </c>
      <c r="AN26" s="1"/>
      <c r="AO26" s="48">
        <v>0.2</v>
      </c>
      <c r="AP26" s="48">
        <v>0.2</v>
      </c>
      <c r="AQ26" s="47">
        <f t="shared" si="2"/>
        <v>5.6536001490671887E-2</v>
      </c>
      <c r="AR26" s="36"/>
      <c r="AS26" s="40">
        <v>23</v>
      </c>
      <c r="AT26" s="53" cm="1">
        <f t="array" ref="AT26">ROUND(INDEX($D$4:$D$33,$AS26)*INDEX($AK$4:$AK$33,AT$3)*$AV$1,0)</f>
        <v>0</v>
      </c>
      <c r="AU26" s="53" cm="1">
        <f t="array" ref="AU26">ROUND(INDEX($D$4:$D$33,$AS26)*INDEX($AK$4:$AK$33,AU$3)*$AV$1,0)</f>
        <v>0</v>
      </c>
      <c r="AV26" s="53" cm="1">
        <f t="array" ref="AV26">ROUND(INDEX($D$4:$D$33,$AS26)*INDEX($AK$4:$AK$33,AV$3)*$AV$1,0)</f>
        <v>0</v>
      </c>
      <c r="AW26" s="53" cm="1">
        <f t="array" ref="AW26">ROUND(INDEX($D$4:$D$33,$AS26)*INDEX($AK$4:$AK$33,AW$3)*$AV$1,0)</f>
        <v>0</v>
      </c>
      <c r="AX26" s="53" cm="1">
        <f t="array" ref="AX26">ROUND(INDEX($D$4:$D$33,$AS26)*INDEX($AK$4:$AK$33,AX$3)*$AV$1,0)</f>
        <v>0</v>
      </c>
      <c r="AY26" s="53" cm="1">
        <f t="array" ref="AY26">ROUND(INDEX($D$4:$D$33,$AS26)*INDEX($AK$4:$AK$33,AY$3)*$AV$1,0)</f>
        <v>0</v>
      </c>
      <c r="AZ26" s="53" cm="1">
        <f t="array" ref="AZ26">ROUND(INDEX($D$4:$D$33,$AS26)*INDEX($AK$4:$AK$33,AZ$3)*$AV$1,0)</f>
        <v>0</v>
      </c>
      <c r="BA26" s="53" cm="1">
        <f t="array" ref="BA26">ROUND(INDEX($D$4:$D$33,$AS26)*INDEX($AK$4:$AK$33,BA$3)*$AV$1,0)</f>
        <v>0</v>
      </c>
      <c r="BB26" s="53" cm="1">
        <f t="array" ref="BB26">ROUND(INDEX($D$4:$D$33,$AS26)*INDEX($AK$4:$AK$33,BB$3)*$AV$1,0)</f>
        <v>53</v>
      </c>
      <c r="BC26" s="53" cm="1">
        <f t="array" ref="BC26">ROUND(INDEX($D$4:$D$33,$AS26)*INDEX($AK$4:$AK$33,BC$3)*$AV$1,0)</f>
        <v>0</v>
      </c>
      <c r="BD26" s="53" cm="1">
        <f t="array" ref="BD26">ROUND(INDEX($D$4:$D$33,$AS26)*INDEX($AK$4:$AK$33,BD$3)*$AV$1,0)</f>
        <v>104</v>
      </c>
      <c r="BE26" s="53" cm="1">
        <f t="array" ref="BE26">ROUND(INDEX($D$4:$D$33,$AS26)*INDEX($AK$4:$AK$33,BE$3)*$AV$1,0)</f>
        <v>34</v>
      </c>
      <c r="BF26" s="53" cm="1">
        <f t="array" ref="BF26">ROUND(INDEX($D$4:$D$33,$AS26)*INDEX($AK$4:$AK$33,BF$3)*$AV$1,0)</f>
        <v>0</v>
      </c>
      <c r="BG26" s="53" cm="1">
        <f t="array" ref="BG26">ROUND(INDEX($D$4:$D$33,$AS26)*INDEX($AK$4:$AK$33,BG$3)*$AV$1,0)</f>
        <v>0</v>
      </c>
      <c r="BH26" s="53" cm="1">
        <f t="array" ref="BH26">ROUND(INDEX($D$4:$D$33,$AS26)*INDEX($AK$4:$AK$33,BH$3)*$AV$1,0)</f>
        <v>110</v>
      </c>
      <c r="BI26" s="53" cm="1">
        <f t="array" ref="BI26">ROUND(INDEX($D$4:$D$33,$AS26)*INDEX($AK$4:$AK$33,BI$3)*$AV$1,0)</f>
        <v>0</v>
      </c>
      <c r="BJ26" s="53" cm="1">
        <f t="array" ref="BJ26">ROUND(INDEX($D$4:$D$33,$AS26)*INDEX($AK$4:$AK$33,BJ$3)*$AV$1,0)</f>
        <v>17</v>
      </c>
      <c r="BK26" s="53" cm="1">
        <f t="array" ref="BK26">ROUND(INDEX($D$4:$D$33,$AS26)*INDEX($AK$4:$AK$33,BK$3)*$AV$1,0)</f>
        <v>0</v>
      </c>
      <c r="BL26" s="53" cm="1">
        <f t="array" ref="BL26">ROUND(INDEX($D$4:$D$33,$AS26)*INDEX($AK$4:$AK$33,BL$3)*$AV$1,0)</f>
        <v>0</v>
      </c>
      <c r="BM26" s="53" cm="1">
        <f t="array" ref="BM26">ROUND(INDEX($D$4:$D$33,$AS26)*INDEX($AK$4:$AK$33,BM$3)*$AV$1,0)</f>
        <v>0</v>
      </c>
      <c r="BN26" s="53" cm="1">
        <f t="array" ref="BN26">ROUND(INDEX($D$4:$D$33,$AS26)*INDEX($AK$4:$AK$33,BN$3)*$AV$1,0)</f>
        <v>0</v>
      </c>
      <c r="BO26" s="53" cm="1">
        <f t="array" ref="BO26">ROUND(INDEX($D$4:$D$33,$AS26)*INDEX($AK$4:$AK$33,BO$3)*$AV$1,0)</f>
        <v>0</v>
      </c>
      <c r="BP26" s="52" cm="1">
        <f t="array" ref="BP26">ROUND(INDEX($D$4:$D$33,$AS26)*INDEX($AK$4:$AK$33,BP$3)*$AV$1,0)</f>
        <v>0</v>
      </c>
      <c r="BQ26" s="53" cm="1">
        <f t="array" ref="BQ26">ROUND(INDEX($D$4:$D$33,$AS26)*INDEX($AK$4:$AK$33,BQ$3)*$AV$1,0)</f>
        <v>7</v>
      </c>
      <c r="BR26" s="53" cm="1">
        <f t="array" ref="BR26">ROUND(INDEX($D$4:$D$33,$AS26)*INDEX($AK$4:$AK$33,BR$3)*$AV$1,0)</f>
        <v>0</v>
      </c>
      <c r="BS26" s="53" cm="1">
        <f t="array" ref="BS26">ROUND(INDEX($D$4:$D$33,$AS26)*INDEX($AK$4:$AK$33,BS$3)*$AV$1,0)</f>
        <v>0</v>
      </c>
      <c r="BT26" s="53" cm="1">
        <f t="array" ref="BT26">ROUND(INDEX($D$4:$D$33,$AS26)*INDEX($AK$4:$AK$33,BT$3)*$AV$1,0)</f>
        <v>47</v>
      </c>
      <c r="BU26" s="53" cm="1">
        <f t="array" ref="BU26">ROUND(INDEX($D$4:$D$33,$AS26)*INDEX($AK$4:$AK$33,BU$3)*$AV$1,0)</f>
        <v>0</v>
      </c>
      <c r="BV26" s="53" cm="1">
        <f t="array" ref="BV26">ROUND(INDEX($D$4:$D$33,$AS26)*INDEX($AK$4:$AK$33,BV$3)*$AV$1,0)</f>
        <v>80</v>
      </c>
      <c r="BW26" s="53" cm="1">
        <f t="array" ref="BW26">ROUND(INDEX($D$4:$D$33,$AS26)*INDEX($AK$4:$AK$33,BW$3)*$AV$1,0)</f>
        <v>113</v>
      </c>
      <c r="BX26" s="38">
        <f t="shared" si="3"/>
        <v>565</v>
      </c>
      <c r="BZ26">
        <f>BX26+BP34</f>
        <v>565</v>
      </c>
      <c r="CA26" s="39">
        <v>23</v>
      </c>
      <c r="CD26">
        <v>0.93519631204917897</v>
      </c>
      <c r="CN26" s="2"/>
    </row>
    <row r="27" spans="1:92" x14ac:dyDescent="0.25">
      <c r="A27" s="1"/>
      <c r="B27" s="10">
        <v>24</v>
      </c>
      <c r="C27" s="4">
        <v>0.49432324765199898</v>
      </c>
      <c r="D27" s="45">
        <v>6.8380583980721429E-2</v>
      </c>
      <c r="E27" s="1"/>
      <c r="F27" s="13">
        <v>-1.07955909697361</v>
      </c>
      <c r="G27" s="5">
        <v>1.43037744714909</v>
      </c>
      <c r="H27" s="5">
        <v>0.390532211778785</v>
      </c>
      <c r="I27" s="5">
        <v>1.28703503915816</v>
      </c>
      <c r="J27" s="5">
        <v>0.24228623987006401</v>
      </c>
      <c r="K27" s="5">
        <v>0.12696914452868599</v>
      </c>
      <c r="L27" s="5">
        <v>-0.72076685264583495</v>
      </c>
      <c r="M27" s="5">
        <v>2.6586836751998001E-2</v>
      </c>
      <c r="N27" s="5">
        <v>9.69608165848454E-2</v>
      </c>
      <c r="O27" s="5">
        <v>-1.07554636895884</v>
      </c>
      <c r="P27" s="5">
        <v>-1.33773665603104E-2</v>
      </c>
      <c r="Q27" s="5">
        <v>0.115432832862902</v>
      </c>
      <c r="R27" s="5">
        <v>-0.509930535091492</v>
      </c>
      <c r="S27" s="5">
        <v>0.29034041954839401</v>
      </c>
      <c r="T27" s="5">
        <v>-0.85745966903321003</v>
      </c>
      <c r="U27" s="5">
        <v>-0.40569876210836198</v>
      </c>
      <c r="V27" s="5">
        <v>7.4523533822324406E-2</v>
      </c>
      <c r="W27" s="5">
        <v>-0.42786752273906797</v>
      </c>
      <c r="X27" s="5">
        <v>0.298253837986107</v>
      </c>
      <c r="Y27" s="5">
        <v>-0.25654466379063001</v>
      </c>
      <c r="Z27" s="5">
        <v>-0.61809276820024195</v>
      </c>
      <c r="AA27" s="5">
        <v>0.65873635814939002</v>
      </c>
      <c r="AB27" s="5">
        <v>0.42429381047056702</v>
      </c>
      <c r="AC27" s="13">
        <v>0</v>
      </c>
      <c r="AD27" s="5">
        <v>8.6163573849880604E-2</v>
      </c>
      <c r="AE27" s="5">
        <v>-0.49617690473235798</v>
      </c>
      <c r="AF27" s="5">
        <v>0.79823306242803904</v>
      </c>
      <c r="AG27" s="5">
        <v>3.9216625781124899E-2</v>
      </c>
      <c r="AH27" s="5">
        <v>0.567715437735543</v>
      </c>
      <c r="AI27" s="5">
        <v>0.150457698554741</v>
      </c>
      <c r="AJ27" s="1"/>
      <c r="AK27" s="26">
        <v>1.3099057113057635E-2</v>
      </c>
      <c r="AL27" s="15">
        <f t="shared" si="0"/>
        <v>4.027728080299614E-2</v>
      </c>
      <c r="AM27" s="37">
        <f t="shared" si="1"/>
        <v>4.0739820546889529</v>
      </c>
      <c r="AN27" s="1"/>
      <c r="AO27" s="48">
        <v>0.2</v>
      </c>
      <c r="AP27" s="48">
        <v>0.2</v>
      </c>
      <c r="AQ27" s="47">
        <f t="shared" si="2"/>
        <v>4.073982054688953E-2</v>
      </c>
      <c r="AR27" s="36"/>
      <c r="AS27" s="40">
        <v>24</v>
      </c>
      <c r="AT27" s="53" cm="1">
        <f t="array" ref="AT27">ROUND(INDEX($D$4:$D$33,$AS27)*INDEX($AK$4:$AK$33,AT$3)*$AV$1,0)</f>
        <v>0</v>
      </c>
      <c r="AU27" s="53" cm="1">
        <f t="array" ref="AU27">ROUND(INDEX($D$4:$D$33,$AS27)*INDEX($AK$4:$AK$33,AU$3)*$AV$1,0)</f>
        <v>0</v>
      </c>
      <c r="AV27" s="53" cm="1">
        <f t="array" ref="AV27">ROUND(INDEX($D$4:$D$33,$AS27)*INDEX($AK$4:$AK$33,AV$3)*$AV$1,0)</f>
        <v>0</v>
      </c>
      <c r="AW27" s="53" cm="1">
        <f t="array" ref="AW27">ROUND(INDEX($D$4:$D$33,$AS27)*INDEX($AK$4:$AK$33,AW$3)*$AV$1,0)</f>
        <v>0</v>
      </c>
      <c r="AX27" s="53" cm="1">
        <f t="array" ref="AX27">ROUND(INDEX($D$4:$D$33,$AS27)*INDEX($AK$4:$AK$33,AX$3)*$AV$1,0)</f>
        <v>0</v>
      </c>
      <c r="AY27" s="53" cm="1">
        <f t="array" ref="AY27">ROUND(INDEX($D$4:$D$33,$AS27)*INDEX($AK$4:$AK$33,AY$3)*$AV$1,0)</f>
        <v>0</v>
      </c>
      <c r="AZ27" s="53" cm="1">
        <f t="array" ref="AZ27">ROUND(INDEX($D$4:$D$33,$AS27)*INDEX($AK$4:$AK$33,AZ$3)*$AV$1,0)</f>
        <v>0</v>
      </c>
      <c r="BA27" s="53" cm="1">
        <f t="array" ref="BA27">ROUND(INDEX($D$4:$D$33,$AS27)*INDEX($AK$4:$AK$33,BA$3)*$AV$1,0)</f>
        <v>0</v>
      </c>
      <c r="BB27" s="53" cm="1">
        <f t="array" ref="BB27">ROUND(INDEX($D$4:$D$33,$AS27)*INDEX($AK$4:$AK$33,BB$3)*$AV$1,0)</f>
        <v>32</v>
      </c>
      <c r="BC27" s="53" cm="1">
        <f t="array" ref="BC27">ROUND(INDEX($D$4:$D$33,$AS27)*INDEX($AK$4:$AK$33,BC$3)*$AV$1,0)</f>
        <v>0</v>
      </c>
      <c r="BD27" s="53" cm="1">
        <f t="array" ref="BD27">ROUND(INDEX($D$4:$D$33,$AS27)*INDEX($AK$4:$AK$33,BD$3)*$AV$1,0)</f>
        <v>63</v>
      </c>
      <c r="BE27" s="53" cm="1">
        <f t="array" ref="BE27">ROUND(INDEX($D$4:$D$33,$AS27)*INDEX($AK$4:$AK$33,BE$3)*$AV$1,0)</f>
        <v>21</v>
      </c>
      <c r="BF27" s="53" cm="1">
        <f t="array" ref="BF27">ROUND(INDEX($D$4:$D$33,$AS27)*INDEX($AK$4:$AK$33,BF$3)*$AV$1,0)</f>
        <v>0</v>
      </c>
      <c r="BG27" s="53" cm="1">
        <f t="array" ref="BG27">ROUND(INDEX($D$4:$D$33,$AS27)*INDEX($AK$4:$AK$33,BG$3)*$AV$1,0)</f>
        <v>0</v>
      </c>
      <c r="BH27" s="53" cm="1">
        <f t="array" ref="BH27">ROUND(INDEX($D$4:$D$33,$AS27)*INDEX($AK$4:$AK$33,BH$3)*$AV$1,0)</f>
        <v>67</v>
      </c>
      <c r="BI27" s="53" cm="1">
        <f t="array" ref="BI27">ROUND(INDEX($D$4:$D$33,$AS27)*INDEX($AK$4:$AK$33,BI$3)*$AV$1,0)</f>
        <v>0</v>
      </c>
      <c r="BJ27" s="53" cm="1">
        <f t="array" ref="BJ27">ROUND(INDEX($D$4:$D$33,$AS27)*INDEX($AK$4:$AK$33,BJ$3)*$AV$1,0)</f>
        <v>10</v>
      </c>
      <c r="BK27" s="53" cm="1">
        <f t="array" ref="BK27">ROUND(INDEX($D$4:$D$33,$AS27)*INDEX($AK$4:$AK$33,BK$3)*$AV$1,0)</f>
        <v>0</v>
      </c>
      <c r="BL27" s="53" cm="1">
        <f t="array" ref="BL27">ROUND(INDEX($D$4:$D$33,$AS27)*INDEX($AK$4:$AK$33,BL$3)*$AV$1,0)</f>
        <v>0</v>
      </c>
      <c r="BM27" s="53" cm="1">
        <f t="array" ref="BM27">ROUND(INDEX($D$4:$D$33,$AS27)*INDEX($AK$4:$AK$33,BM$3)*$AV$1,0)</f>
        <v>0</v>
      </c>
      <c r="BN27" s="53" cm="1">
        <f t="array" ref="BN27">ROUND(INDEX($D$4:$D$33,$AS27)*INDEX($AK$4:$AK$33,BN$3)*$AV$1,0)</f>
        <v>0</v>
      </c>
      <c r="BO27" s="53" cm="1">
        <f t="array" ref="BO27">ROUND(INDEX($D$4:$D$33,$AS27)*INDEX($AK$4:$AK$33,BO$3)*$AV$1,0)</f>
        <v>0</v>
      </c>
      <c r="BP27" s="53" cm="1">
        <f t="array" ref="BP27">ROUND(INDEX($D$4:$D$33,$AS27)*INDEX($AK$4:$AK$33,BP$3)*$AV$1,0)</f>
        <v>0</v>
      </c>
      <c r="BQ27" s="52" cm="1">
        <f t="array" ref="BQ27">ROUND(INDEX($D$4:$D$33,$AS27)*INDEX($AK$4:$AK$33,BQ$3)*$AV$1,0)</f>
        <v>4</v>
      </c>
      <c r="BR27" s="53" cm="1">
        <f t="array" ref="BR27">ROUND(INDEX($D$4:$D$33,$AS27)*INDEX($AK$4:$AK$33,BR$3)*$AV$1,0)</f>
        <v>0</v>
      </c>
      <c r="BS27" s="53" cm="1">
        <f t="array" ref="BS27">ROUND(INDEX($D$4:$D$33,$AS27)*INDEX($AK$4:$AK$33,BS$3)*$AV$1,0)</f>
        <v>0</v>
      </c>
      <c r="BT27" s="53" cm="1">
        <f t="array" ref="BT27">ROUND(INDEX($D$4:$D$33,$AS27)*INDEX($AK$4:$AK$33,BT$3)*$AV$1,0)</f>
        <v>28</v>
      </c>
      <c r="BU27" s="53" cm="1">
        <f t="array" ref="BU27">ROUND(INDEX($D$4:$D$33,$AS27)*INDEX($AK$4:$AK$33,BU$3)*$AV$1,0)</f>
        <v>0</v>
      </c>
      <c r="BV27" s="53" cm="1">
        <f t="array" ref="BV27">ROUND(INDEX($D$4:$D$33,$AS27)*INDEX($AK$4:$AK$33,BV$3)*$AV$1,0)</f>
        <v>48</v>
      </c>
      <c r="BW27" s="53" cm="1">
        <f t="array" ref="BW27">ROUND(INDEX($D$4:$D$33,$AS27)*INDEX($AK$4:$AK$33,BW$3)*$AV$1,0)</f>
        <v>68</v>
      </c>
      <c r="BX27" s="38">
        <f t="shared" si="3"/>
        <v>341</v>
      </c>
      <c r="BZ27">
        <f>BX27+BQ34</f>
        <v>405</v>
      </c>
      <c r="CA27" s="39">
        <v>24</v>
      </c>
      <c r="CD27">
        <v>-0.61847720715231802</v>
      </c>
      <c r="CN27" s="2"/>
    </row>
    <row r="28" spans="1:92" x14ac:dyDescent="0.25">
      <c r="A28" s="1"/>
      <c r="B28" s="10">
        <v>25</v>
      </c>
      <c r="C28" s="4">
        <v>-0.58846857658700902</v>
      </c>
      <c r="D28" s="45">
        <v>0</v>
      </c>
      <c r="E28" s="1"/>
      <c r="F28" s="13">
        <v>-0.399086772003309</v>
      </c>
      <c r="G28" s="5">
        <v>0.73773059316831002</v>
      </c>
      <c r="H28" s="5">
        <v>0.59821355644711105</v>
      </c>
      <c r="I28" s="5">
        <v>-0.35039700478039398</v>
      </c>
      <c r="J28" s="5">
        <v>-0.14624220702415699</v>
      </c>
      <c r="K28" s="5">
        <v>-0.110164523394577</v>
      </c>
      <c r="L28" s="5">
        <v>-0.19473584664238799</v>
      </c>
      <c r="M28" s="5">
        <v>-1.72763802593741</v>
      </c>
      <c r="N28" s="5">
        <v>-0.30216287967738698</v>
      </c>
      <c r="O28" s="5">
        <v>0.21853869527608699</v>
      </c>
      <c r="P28" s="5">
        <v>1.73352545860914</v>
      </c>
      <c r="Q28" s="5">
        <v>-1.03423417994375</v>
      </c>
      <c r="R28" s="5">
        <v>-0.44939574390970899</v>
      </c>
      <c r="S28" s="5">
        <v>-0.27257046546181801</v>
      </c>
      <c r="T28" s="5">
        <v>-0.66629084509919601</v>
      </c>
      <c r="U28" s="5">
        <v>-0.47642953027695001</v>
      </c>
      <c r="V28" s="5">
        <v>-1.3606459227659899</v>
      </c>
      <c r="W28" s="5">
        <v>-7.9491270940328596E-2</v>
      </c>
      <c r="X28" s="5">
        <v>-0.36664155285211603</v>
      </c>
      <c r="Y28" s="5">
        <v>0.37828975634837098</v>
      </c>
      <c r="Z28" s="5">
        <v>4.0593508965108702E-2</v>
      </c>
      <c r="AA28" s="5">
        <v>0.75364653953870897</v>
      </c>
      <c r="AB28" s="5">
        <v>1.1460338473629601</v>
      </c>
      <c r="AC28" s="5">
        <v>8.6163573849880604E-2</v>
      </c>
      <c r="AD28" s="13">
        <v>0</v>
      </c>
      <c r="AE28" s="5">
        <v>1.16807200822889</v>
      </c>
      <c r="AF28" s="5">
        <v>1.1993447047868001E-3</v>
      </c>
      <c r="AG28" s="5">
        <v>-0.43408588193539699</v>
      </c>
      <c r="AH28" s="5">
        <v>0.688618475947123</v>
      </c>
      <c r="AI28" s="5">
        <v>-1.55758881563156</v>
      </c>
      <c r="AJ28" s="1"/>
      <c r="AK28" s="26">
        <v>0</v>
      </c>
      <c r="AL28" s="15">
        <f t="shared" si="0"/>
        <v>0</v>
      </c>
      <c r="AM28" s="37">
        <f t="shared" si="1"/>
        <v>0</v>
      </c>
      <c r="AN28" s="1"/>
      <c r="AO28" s="48">
        <v>0.2</v>
      </c>
      <c r="AP28" s="48">
        <v>0.2</v>
      </c>
      <c r="AQ28" s="47">
        <f t="shared" si="2"/>
        <v>0</v>
      </c>
      <c r="AR28" s="36"/>
      <c r="AS28" s="40">
        <v>25</v>
      </c>
      <c r="AT28" s="53" cm="1">
        <f t="array" ref="AT28">ROUND(INDEX($D$4:$D$33,$AS28)*INDEX($AK$4:$AK$33,AT$3)*$AV$1,0)</f>
        <v>0</v>
      </c>
      <c r="AU28" s="53" cm="1">
        <f t="array" ref="AU28">ROUND(INDEX($D$4:$D$33,$AS28)*INDEX($AK$4:$AK$33,AU$3)*$AV$1,0)</f>
        <v>0</v>
      </c>
      <c r="AV28" s="53" cm="1">
        <f t="array" ref="AV28">ROUND(INDEX($D$4:$D$33,$AS28)*INDEX($AK$4:$AK$33,AV$3)*$AV$1,0)</f>
        <v>0</v>
      </c>
      <c r="AW28" s="53" cm="1">
        <f t="array" ref="AW28">ROUND(INDEX($D$4:$D$33,$AS28)*INDEX($AK$4:$AK$33,AW$3)*$AV$1,0)</f>
        <v>0</v>
      </c>
      <c r="AX28" s="53" cm="1">
        <f t="array" ref="AX28">ROUND(INDEX($D$4:$D$33,$AS28)*INDEX($AK$4:$AK$33,AX$3)*$AV$1,0)</f>
        <v>0</v>
      </c>
      <c r="AY28" s="53" cm="1">
        <f t="array" ref="AY28">ROUND(INDEX($D$4:$D$33,$AS28)*INDEX($AK$4:$AK$33,AY$3)*$AV$1,0)</f>
        <v>0</v>
      </c>
      <c r="AZ28" s="53" cm="1">
        <f t="array" ref="AZ28">ROUND(INDEX($D$4:$D$33,$AS28)*INDEX($AK$4:$AK$33,AZ$3)*$AV$1,0)</f>
        <v>0</v>
      </c>
      <c r="BA28" s="53" cm="1">
        <f t="array" ref="BA28">ROUND(INDEX($D$4:$D$33,$AS28)*INDEX($AK$4:$AK$33,BA$3)*$AV$1,0)</f>
        <v>0</v>
      </c>
      <c r="BB28" s="53" cm="1">
        <f t="array" ref="BB28">ROUND(INDEX($D$4:$D$33,$AS28)*INDEX($AK$4:$AK$33,BB$3)*$AV$1,0)</f>
        <v>0</v>
      </c>
      <c r="BC28" s="53" cm="1">
        <f t="array" ref="BC28">ROUND(INDEX($D$4:$D$33,$AS28)*INDEX($AK$4:$AK$33,BC$3)*$AV$1,0)</f>
        <v>0</v>
      </c>
      <c r="BD28" s="53" cm="1">
        <f t="array" ref="BD28">ROUND(INDEX($D$4:$D$33,$AS28)*INDEX($AK$4:$AK$33,BD$3)*$AV$1,0)</f>
        <v>0</v>
      </c>
      <c r="BE28" s="53" cm="1">
        <f t="array" ref="BE28">ROUND(INDEX($D$4:$D$33,$AS28)*INDEX($AK$4:$AK$33,BE$3)*$AV$1,0)</f>
        <v>0</v>
      </c>
      <c r="BF28" s="53" cm="1">
        <f t="array" ref="BF28">ROUND(INDEX($D$4:$D$33,$AS28)*INDEX($AK$4:$AK$33,BF$3)*$AV$1,0)</f>
        <v>0</v>
      </c>
      <c r="BG28" s="53" cm="1">
        <f t="array" ref="BG28">ROUND(INDEX($D$4:$D$33,$AS28)*INDEX($AK$4:$AK$33,BG$3)*$AV$1,0)</f>
        <v>0</v>
      </c>
      <c r="BH28" s="53" cm="1">
        <f t="array" ref="BH28">ROUND(INDEX($D$4:$D$33,$AS28)*INDEX($AK$4:$AK$33,BH$3)*$AV$1,0)</f>
        <v>0</v>
      </c>
      <c r="BI28" s="53" cm="1">
        <f t="array" ref="BI28">ROUND(INDEX($D$4:$D$33,$AS28)*INDEX($AK$4:$AK$33,BI$3)*$AV$1,0)</f>
        <v>0</v>
      </c>
      <c r="BJ28" s="53" cm="1">
        <f t="array" ref="BJ28">ROUND(INDEX($D$4:$D$33,$AS28)*INDEX($AK$4:$AK$33,BJ$3)*$AV$1,0)</f>
        <v>0</v>
      </c>
      <c r="BK28" s="53" cm="1">
        <f t="array" ref="BK28">ROUND(INDEX($D$4:$D$33,$AS28)*INDEX($AK$4:$AK$33,BK$3)*$AV$1,0)</f>
        <v>0</v>
      </c>
      <c r="BL28" s="53" cm="1">
        <f t="array" ref="BL28">ROUND(INDEX($D$4:$D$33,$AS28)*INDEX($AK$4:$AK$33,BL$3)*$AV$1,0)</f>
        <v>0</v>
      </c>
      <c r="BM28" s="53" cm="1">
        <f t="array" ref="BM28">ROUND(INDEX($D$4:$D$33,$AS28)*INDEX($AK$4:$AK$33,BM$3)*$AV$1,0)</f>
        <v>0</v>
      </c>
      <c r="BN28" s="53" cm="1">
        <f t="array" ref="BN28">ROUND(INDEX($D$4:$D$33,$AS28)*INDEX($AK$4:$AK$33,BN$3)*$AV$1,0)</f>
        <v>0</v>
      </c>
      <c r="BO28" s="53" cm="1">
        <f t="array" ref="BO28">ROUND(INDEX($D$4:$D$33,$AS28)*INDEX($AK$4:$AK$33,BO$3)*$AV$1,0)</f>
        <v>0</v>
      </c>
      <c r="BP28" s="53" cm="1">
        <f t="array" ref="BP28">ROUND(INDEX($D$4:$D$33,$AS28)*INDEX($AK$4:$AK$33,BP$3)*$AV$1,0)</f>
        <v>0</v>
      </c>
      <c r="BQ28" s="53" cm="1">
        <f t="array" ref="BQ28">ROUND(INDEX($D$4:$D$33,$AS28)*INDEX($AK$4:$AK$33,BQ$3)*$AV$1,0)</f>
        <v>0</v>
      </c>
      <c r="BR28" s="52" cm="1">
        <f t="array" ref="BR28">ROUND(INDEX($D$4:$D$33,$AS28)*INDEX($AK$4:$AK$33,BR$3)*$AV$1,0)</f>
        <v>0</v>
      </c>
      <c r="BS28" s="53" cm="1">
        <f t="array" ref="BS28">ROUND(INDEX($D$4:$D$33,$AS28)*INDEX($AK$4:$AK$33,BS$3)*$AV$1,0)</f>
        <v>0</v>
      </c>
      <c r="BT28" s="53" cm="1">
        <f t="array" ref="BT28">ROUND(INDEX($D$4:$D$33,$AS28)*INDEX($AK$4:$AK$33,BT$3)*$AV$1,0)</f>
        <v>0</v>
      </c>
      <c r="BU28" s="53" cm="1">
        <f t="array" ref="BU28">ROUND(INDEX($D$4:$D$33,$AS28)*INDEX($AK$4:$AK$33,BU$3)*$AV$1,0)</f>
        <v>0</v>
      </c>
      <c r="BV28" s="53" cm="1">
        <f t="array" ref="BV28">ROUND(INDEX($D$4:$D$33,$AS28)*INDEX($AK$4:$AK$33,BV$3)*$AV$1,0)</f>
        <v>0</v>
      </c>
      <c r="BW28" s="53" cm="1">
        <f t="array" ref="BW28">ROUND(INDEX($D$4:$D$33,$AS28)*INDEX($AK$4:$AK$33,BW$3)*$AV$1,0)</f>
        <v>0</v>
      </c>
      <c r="BX28" s="38">
        <f t="shared" si="3"/>
        <v>0</v>
      </c>
      <c r="BZ28">
        <f>BX28+BR34</f>
        <v>0</v>
      </c>
      <c r="CA28" s="39">
        <v>25</v>
      </c>
      <c r="CD28">
        <v>-0.62365580821993605</v>
      </c>
      <c r="CN28" s="2"/>
    </row>
    <row r="29" spans="1:92" x14ac:dyDescent="0.25">
      <c r="A29" s="1"/>
      <c r="B29" s="10">
        <v>26</v>
      </c>
      <c r="C29" s="4">
        <v>-2.392466018716E-2</v>
      </c>
      <c r="D29" s="45">
        <v>8.8898427380989117E-2</v>
      </c>
      <c r="E29" s="1"/>
      <c r="F29" s="13">
        <v>-0.29849895313538799</v>
      </c>
      <c r="G29" s="5">
        <v>-1.18371381814941</v>
      </c>
      <c r="H29" s="5">
        <v>-0.48622794391304303</v>
      </c>
      <c r="I29" s="5">
        <v>-0.72632977329843995</v>
      </c>
      <c r="J29" s="5">
        <v>-0.34829074992099102</v>
      </c>
      <c r="K29" s="5">
        <v>0.245230511833954</v>
      </c>
      <c r="L29" s="5">
        <v>0.58644075965159204</v>
      </c>
      <c r="M29" s="5">
        <v>0.11004884188777</v>
      </c>
      <c r="N29" s="5">
        <v>5.9194642446617103E-2</v>
      </c>
      <c r="O29" s="5">
        <v>0.26489408084771299</v>
      </c>
      <c r="P29" s="5">
        <v>1.8760972464160099</v>
      </c>
      <c r="Q29" s="5">
        <v>0.23526430316235999</v>
      </c>
      <c r="R29" s="5">
        <v>9.95400073805663E-2</v>
      </c>
      <c r="S29" s="5">
        <v>1.1156978336523899</v>
      </c>
      <c r="T29" s="5">
        <v>6.3319815001052299E-2</v>
      </c>
      <c r="U29" s="5">
        <v>-0.47587136230315502</v>
      </c>
      <c r="V29" s="5">
        <v>0.65894818259208698</v>
      </c>
      <c r="W29" s="5">
        <v>-0.25306672553624898</v>
      </c>
      <c r="X29" s="5">
        <v>0.14290744819338499</v>
      </c>
      <c r="Y29" s="5">
        <v>0.61960257545445796</v>
      </c>
      <c r="Z29" s="5">
        <v>0.57130574403911505</v>
      </c>
      <c r="AA29" s="5">
        <v>-1.13372828993182</v>
      </c>
      <c r="AB29" s="5">
        <v>-1.67022289683854</v>
      </c>
      <c r="AC29" s="5">
        <v>-0.49617690473235798</v>
      </c>
      <c r="AD29" s="5">
        <v>1.16807200822889</v>
      </c>
      <c r="AE29" s="13">
        <v>0</v>
      </c>
      <c r="AF29" s="5">
        <v>0.26847705483983098</v>
      </c>
      <c r="AG29" s="5">
        <v>0.41508342513684898</v>
      </c>
      <c r="AH29" s="5">
        <v>1.10360549287983</v>
      </c>
      <c r="AI29" s="5">
        <v>0.88464220802668103</v>
      </c>
      <c r="AJ29" s="1"/>
      <c r="AK29" s="26">
        <v>0</v>
      </c>
      <c r="AL29" s="15">
        <f t="shared" si="0"/>
        <v>-2.1268646662630846E-3</v>
      </c>
      <c r="AM29" s="37">
        <f t="shared" si="1"/>
        <v>4.4449213690494558</v>
      </c>
      <c r="AN29" s="1"/>
      <c r="AO29" s="48">
        <v>0.2</v>
      </c>
      <c r="AP29" s="48">
        <v>0.2</v>
      </c>
      <c r="AQ29" s="47">
        <f t="shared" si="2"/>
        <v>4.4449213690494559E-2</v>
      </c>
      <c r="AR29" s="36"/>
      <c r="AS29" s="40">
        <v>26</v>
      </c>
      <c r="AT29" s="53" cm="1">
        <f t="array" ref="AT29">ROUND(INDEX($D$4:$D$33,$AS29)*INDEX($AK$4:$AK$33,AT$3)*$AV$1,0)</f>
        <v>0</v>
      </c>
      <c r="AU29" s="53" cm="1">
        <f t="array" ref="AU29">ROUND(INDEX($D$4:$D$33,$AS29)*INDEX($AK$4:$AK$33,AU$3)*$AV$1,0)</f>
        <v>0</v>
      </c>
      <c r="AV29" s="53" cm="1">
        <f t="array" ref="AV29">ROUND(INDEX($D$4:$D$33,$AS29)*INDEX($AK$4:$AK$33,AV$3)*$AV$1,0)</f>
        <v>0</v>
      </c>
      <c r="AW29" s="53" cm="1">
        <f t="array" ref="AW29">ROUND(INDEX($D$4:$D$33,$AS29)*INDEX($AK$4:$AK$33,AW$3)*$AV$1,0)</f>
        <v>0</v>
      </c>
      <c r="AX29" s="53" cm="1">
        <f t="array" ref="AX29">ROUND(INDEX($D$4:$D$33,$AS29)*INDEX($AK$4:$AK$33,AX$3)*$AV$1,0)</f>
        <v>0</v>
      </c>
      <c r="AY29" s="53" cm="1">
        <f t="array" ref="AY29">ROUND(INDEX($D$4:$D$33,$AS29)*INDEX($AK$4:$AK$33,AY$3)*$AV$1,0)</f>
        <v>0</v>
      </c>
      <c r="AZ29" s="53" cm="1">
        <f t="array" ref="AZ29">ROUND(INDEX($D$4:$D$33,$AS29)*INDEX($AK$4:$AK$33,AZ$3)*$AV$1,0)</f>
        <v>0</v>
      </c>
      <c r="BA29" s="53" cm="1">
        <f t="array" ref="BA29">ROUND(INDEX($D$4:$D$33,$AS29)*INDEX($AK$4:$AK$33,BA$3)*$AV$1,0)</f>
        <v>0</v>
      </c>
      <c r="BB29" s="53" cm="1">
        <f t="array" ref="BB29">ROUND(INDEX($D$4:$D$33,$AS29)*INDEX($AK$4:$AK$33,BB$3)*$AV$1,0)</f>
        <v>42</v>
      </c>
      <c r="BC29" s="53" cm="1">
        <f t="array" ref="BC29">ROUND(INDEX($D$4:$D$33,$AS29)*INDEX($AK$4:$AK$33,BC$3)*$AV$1,0)</f>
        <v>0</v>
      </c>
      <c r="BD29" s="53" cm="1">
        <f t="array" ref="BD29">ROUND(INDEX($D$4:$D$33,$AS29)*INDEX($AK$4:$AK$33,BD$3)*$AV$1,0)</f>
        <v>81</v>
      </c>
      <c r="BE29" s="53" cm="1">
        <f t="array" ref="BE29">ROUND(INDEX($D$4:$D$33,$AS29)*INDEX($AK$4:$AK$33,BE$3)*$AV$1,0)</f>
        <v>27</v>
      </c>
      <c r="BF29" s="53" cm="1">
        <f t="array" ref="BF29">ROUND(INDEX($D$4:$D$33,$AS29)*INDEX($AK$4:$AK$33,BF$3)*$AV$1,0)</f>
        <v>0</v>
      </c>
      <c r="BG29" s="53" cm="1">
        <f t="array" ref="BG29">ROUND(INDEX($D$4:$D$33,$AS29)*INDEX($AK$4:$AK$33,BG$3)*$AV$1,0)</f>
        <v>0</v>
      </c>
      <c r="BH29" s="53" cm="1">
        <f t="array" ref="BH29">ROUND(INDEX($D$4:$D$33,$AS29)*INDEX($AK$4:$AK$33,BH$3)*$AV$1,0)</f>
        <v>87</v>
      </c>
      <c r="BI29" s="53" cm="1">
        <f t="array" ref="BI29">ROUND(INDEX($D$4:$D$33,$AS29)*INDEX($AK$4:$AK$33,BI$3)*$AV$1,0)</f>
        <v>0</v>
      </c>
      <c r="BJ29" s="53" cm="1">
        <f t="array" ref="BJ29">ROUND(INDEX($D$4:$D$33,$AS29)*INDEX($AK$4:$AK$33,BJ$3)*$AV$1,0)</f>
        <v>13</v>
      </c>
      <c r="BK29" s="53" cm="1">
        <f t="array" ref="BK29">ROUND(INDEX($D$4:$D$33,$AS29)*INDEX($AK$4:$AK$33,BK$3)*$AV$1,0)</f>
        <v>0</v>
      </c>
      <c r="BL29" s="53" cm="1">
        <f t="array" ref="BL29">ROUND(INDEX($D$4:$D$33,$AS29)*INDEX($AK$4:$AK$33,BL$3)*$AV$1,0)</f>
        <v>0</v>
      </c>
      <c r="BM29" s="53" cm="1">
        <f t="array" ref="BM29">ROUND(INDEX($D$4:$D$33,$AS29)*INDEX($AK$4:$AK$33,BM$3)*$AV$1,0)</f>
        <v>0</v>
      </c>
      <c r="BN29" s="53" cm="1">
        <f t="array" ref="BN29">ROUND(INDEX($D$4:$D$33,$AS29)*INDEX($AK$4:$AK$33,BN$3)*$AV$1,0)</f>
        <v>0</v>
      </c>
      <c r="BO29" s="53" cm="1">
        <f t="array" ref="BO29">ROUND(INDEX($D$4:$D$33,$AS29)*INDEX($AK$4:$AK$33,BO$3)*$AV$1,0)</f>
        <v>0</v>
      </c>
      <c r="BP29" s="53" cm="1">
        <f t="array" ref="BP29">ROUND(INDEX($D$4:$D$33,$AS29)*INDEX($AK$4:$AK$33,BP$3)*$AV$1,0)</f>
        <v>0</v>
      </c>
      <c r="BQ29" s="53" cm="1">
        <f t="array" ref="BQ29">ROUND(INDEX($D$4:$D$33,$AS29)*INDEX($AK$4:$AK$33,BQ$3)*$AV$1,0)</f>
        <v>6</v>
      </c>
      <c r="BR29" s="53" cm="1">
        <f t="array" ref="BR29">ROUND(INDEX($D$4:$D$33,$AS29)*INDEX($AK$4:$AK$33,BR$3)*$AV$1,0)</f>
        <v>0</v>
      </c>
      <c r="BS29" s="52" cm="1">
        <f t="array" ref="BS29">ROUND(INDEX($D$4:$D$33,$AS29)*INDEX($AK$4:$AK$33,BS$3)*$AV$1,0)</f>
        <v>0</v>
      </c>
      <c r="BT29" s="53" cm="1">
        <f t="array" ref="BT29">ROUND(INDEX($D$4:$D$33,$AS29)*INDEX($AK$4:$AK$33,BT$3)*$AV$1,0)</f>
        <v>37</v>
      </c>
      <c r="BU29" s="53" cm="1">
        <f t="array" ref="BU29">ROUND(INDEX($D$4:$D$33,$AS29)*INDEX($AK$4:$AK$33,BU$3)*$AV$1,0)</f>
        <v>0</v>
      </c>
      <c r="BV29" s="53" cm="1">
        <f t="array" ref="BV29">ROUND(INDEX($D$4:$D$33,$AS29)*INDEX($AK$4:$AK$33,BV$3)*$AV$1,0)</f>
        <v>63</v>
      </c>
      <c r="BW29" s="53" cm="1">
        <f t="array" ref="BW29">ROUND(INDEX($D$4:$D$33,$AS29)*INDEX($AK$4:$AK$33,BW$3)*$AV$1,0)</f>
        <v>89</v>
      </c>
      <c r="BX29" s="38">
        <f t="shared" si="3"/>
        <v>445</v>
      </c>
      <c r="BZ29">
        <f>BX29+BS34</f>
        <v>445</v>
      </c>
      <c r="CA29" s="39">
        <v>26</v>
      </c>
      <c r="CD29">
        <v>0.18182197569224501</v>
      </c>
      <c r="CN29" s="2"/>
    </row>
    <row r="30" spans="1:92" x14ac:dyDescent="0.25">
      <c r="A30" s="1"/>
      <c r="B30" s="10">
        <v>27</v>
      </c>
      <c r="C30" s="4">
        <v>2.19131300989467</v>
      </c>
      <c r="D30" s="45">
        <v>0.2</v>
      </c>
      <c r="E30" s="1"/>
      <c r="F30" s="13">
        <v>-0.123061200463822</v>
      </c>
      <c r="G30" s="5">
        <v>1.3568087572805801E-2</v>
      </c>
      <c r="H30" s="5">
        <v>-0.608131166551236</v>
      </c>
      <c r="I30" s="5">
        <v>-1.62277063110755E-2</v>
      </c>
      <c r="J30" s="5">
        <v>-0.42590262099918602</v>
      </c>
      <c r="K30" s="5">
        <v>0.61511345235090997</v>
      </c>
      <c r="L30" s="5">
        <v>-0.40362536036631902</v>
      </c>
      <c r="M30" s="5">
        <v>0.92254772374947702</v>
      </c>
      <c r="N30" s="5">
        <v>-3.0154022455411902E-2</v>
      </c>
      <c r="O30" s="5">
        <v>0.63323587997992004</v>
      </c>
      <c r="P30" s="5">
        <v>1.6156371964724101</v>
      </c>
      <c r="Q30" s="5">
        <v>4.7254095061737299E-2</v>
      </c>
      <c r="R30" s="5">
        <v>1.05683433101985</v>
      </c>
      <c r="S30" s="5">
        <v>-0.75834673934236996</v>
      </c>
      <c r="T30" s="5">
        <v>1.28929935428528</v>
      </c>
      <c r="U30" s="5">
        <v>-0.85448844832460302</v>
      </c>
      <c r="V30" s="5">
        <v>-4.6238840510950098E-2</v>
      </c>
      <c r="W30" s="5">
        <v>-0.23110818400820701</v>
      </c>
      <c r="X30" s="5">
        <v>-0.81257225324690097</v>
      </c>
      <c r="Y30" s="5">
        <v>-0.92492516117919998</v>
      </c>
      <c r="Z30" s="5">
        <v>0.45706177642260598</v>
      </c>
      <c r="AA30" s="5">
        <v>-0.98231524750815502</v>
      </c>
      <c r="AB30" s="5">
        <v>-0.94800575823734401</v>
      </c>
      <c r="AC30" s="5">
        <v>0.79823306242803904</v>
      </c>
      <c r="AD30" s="5">
        <v>1.1993447047868001E-3</v>
      </c>
      <c r="AE30" s="5">
        <v>0.26847705483983098</v>
      </c>
      <c r="AF30" s="13">
        <v>0</v>
      </c>
      <c r="AG30" s="5">
        <v>-0.85327205151082297</v>
      </c>
      <c r="AH30" s="5">
        <v>1.12164780768816</v>
      </c>
      <c r="AI30" s="5">
        <v>1.4316826477176701</v>
      </c>
      <c r="AJ30" s="1"/>
      <c r="AK30" s="26">
        <v>8.29150687380798E-2</v>
      </c>
      <c r="AL30" s="15">
        <f t="shared" si="0"/>
        <v>0.61995547082099911</v>
      </c>
      <c r="AM30" s="37">
        <f t="shared" si="1"/>
        <v>14.145753436903991</v>
      </c>
      <c r="AN30" s="1"/>
      <c r="AO30" s="48">
        <v>0.2</v>
      </c>
      <c r="AP30" s="48">
        <v>0.2</v>
      </c>
      <c r="AQ30" s="47">
        <f t="shared" si="2"/>
        <v>0.14145753436903991</v>
      </c>
      <c r="AR30" s="36"/>
      <c r="AS30" s="40">
        <v>27</v>
      </c>
      <c r="AT30" s="53" cm="1">
        <f t="array" ref="AT30">ROUND(INDEX($D$4:$D$33,$AS30)*INDEX($AK$4:$AK$33,AT$3)*$AV$1,0)</f>
        <v>0</v>
      </c>
      <c r="AU30" s="53" cm="1">
        <f t="array" ref="AU30">ROUND(INDEX($D$4:$D$33,$AS30)*INDEX($AK$4:$AK$33,AU$3)*$AV$1,0)</f>
        <v>0</v>
      </c>
      <c r="AV30" s="53" cm="1">
        <f t="array" ref="AV30">ROUND(INDEX($D$4:$D$33,$AS30)*INDEX($AK$4:$AK$33,AV$3)*$AV$1,0)</f>
        <v>0</v>
      </c>
      <c r="AW30" s="53" cm="1">
        <f t="array" ref="AW30">ROUND(INDEX($D$4:$D$33,$AS30)*INDEX($AK$4:$AK$33,AW$3)*$AV$1,0)</f>
        <v>0</v>
      </c>
      <c r="AX30" s="53" cm="1">
        <f t="array" ref="AX30">ROUND(INDEX($D$4:$D$33,$AS30)*INDEX($AK$4:$AK$33,AX$3)*$AV$1,0)</f>
        <v>0</v>
      </c>
      <c r="AY30" s="53" cm="1">
        <f t="array" ref="AY30">ROUND(INDEX($D$4:$D$33,$AS30)*INDEX($AK$4:$AK$33,AY$3)*$AV$1,0)</f>
        <v>0</v>
      </c>
      <c r="AZ30" s="53" cm="1">
        <f t="array" ref="AZ30">ROUND(INDEX($D$4:$D$33,$AS30)*INDEX($AK$4:$AK$33,AZ$3)*$AV$1,0)</f>
        <v>0</v>
      </c>
      <c r="BA30" s="53" cm="1">
        <f t="array" ref="BA30">ROUND(INDEX($D$4:$D$33,$AS30)*INDEX($AK$4:$AK$33,BA$3)*$AV$1,0)</f>
        <v>0</v>
      </c>
      <c r="BB30" s="53" cm="1">
        <f t="array" ref="BB30">ROUND(INDEX($D$4:$D$33,$AS30)*INDEX($AK$4:$AK$33,BB$3)*$AV$1,0)</f>
        <v>94</v>
      </c>
      <c r="BC30" s="53" cm="1">
        <f t="array" ref="BC30">ROUND(INDEX($D$4:$D$33,$AS30)*INDEX($AK$4:$AK$33,BC$3)*$AV$1,0)</f>
        <v>0</v>
      </c>
      <c r="BD30" s="53" cm="1">
        <f t="array" ref="BD30">ROUND(INDEX($D$4:$D$33,$AS30)*INDEX($AK$4:$AK$33,BD$3)*$AV$1,0)</f>
        <v>183</v>
      </c>
      <c r="BE30" s="53" cm="1">
        <f t="array" ref="BE30">ROUND(INDEX($D$4:$D$33,$AS30)*INDEX($AK$4:$AK$33,BE$3)*$AV$1,0)</f>
        <v>61</v>
      </c>
      <c r="BF30" s="53" cm="1">
        <f t="array" ref="BF30">ROUND(INDEX($D$4:$D$33,$AS30)*INDEX($AK$4:$AK$33,BF$3)*$AV$1,0)</f>
        <v>0</v>
      </c>
      <c r="BG30" s="53" cm="1">
        <f t="array" ref="BG30">ROUND(INDEX($D$4:$D$33,$AS30)*INDEX($AK$4:$AK$33,BG$3)*$AV$1,0)</f>
        <v>0</v>
      </c>
      <c r="BH30" s="53" cm="1">
        <f t="array" ref="BH30">ROUND(INDEX($D$4:$D$33,$AS30)*INDEX($AK$4:$AK$33,BH$3)*$AV$1,0)</f>
        <v>195</v>
      </c>
      <c r="BI30" s="53" cm="1">
        <f t="array" ref="BI30">ROUND(INDEX($D$4:$D$33,$AS30)*INDEX($AK$4:$AK$33,BI$3)*$AV$1,0)</f>
        <v>0</v>
      </c>
      <c r="BJ30" s="53" cm="1">
        <f t="array" ref="BJ30">ROUND(INDEX($D$4:$D$33,$AS30)*INDEX($AK$4:$AK$33,BJ$3)*$AV$1,0)</f>
        <v>30</v>
      </c>
      <c r="BK30" s="53" cm="1">
        <f t="array" ref="BK30">ROUND(INDEX($D$4:$D$33,$AS30)*INDEX($AK$4:$AK$33,BK$3)*$AV$1,0)</f>
        <v>0</v>
      </c>
      <c r="BL30" s="53" cm="1">
        <f t="array" ref="BL30">ROUND(INDEX($D$4:$D$33,$AS30)*INDEX($AK$4:$AK$33,BL$3)*$AV$1,0)</f>
        <v>0</v>
      </c>
      <c r="BM30" s="53" cm="1">
        <f t="array" ref="BM30">ROUND(INDEX($D$4:$D$33,$AS30)*INDEX($AK$4:$AK$33,BM$3)*$AV$1,0)</f>
        <v>0</v>
      </c>
      <c r="BN30" s="53" cm="1">
        <f t="array" ref="BN30">ROUND(INDEX($D$4:$D$33,$AS30)*INDEX($AK$4:$AK$33,BN$3)*$AV$1,0)</f>
        <v>0</v>
      </c>
      <c r="BO30" s="53" cm="1">
        <f t="array" ref="BO30">ROUND(INDEX($D$4:$D$33,$AS30)*INDEX($AK$4:$AK$33,BO$3)*$AV$1,0)</f>
        <v>0</v>
      </c>
      <c r="BP30" s="53" cm="1">
        <f t="array" ref="BP30">ROUND(INDEX($D$4:$D$33,$AS30)*INDEX($AK$4:$AK$33,BP$3)*$AV$1,0)</f>
        <v>0</v>
      </c>
      <c r="BQ30" s="53" cm="1">
        <f t="array" ref="BQ30">ROUND(INDEX($D$4:$D$33,$AS30)*INDEX($AK$4:$AK$33,BQ$3)*$AV$1,0)</f>
        <v>13</v>
      </c>
      <c r="BR30" s="53" cm="1">
        <f t="array" ref="BR30">ROUND(INDEX($D$4:$D$33,$AS30)*INDEX($AK$4:$AK$33,BR$3)*$AV$1,0)</f>
        <v>0</v>
      </c>
      <c r="BS30" s="53" cm="1">
        <f t="array" ref="BS30">ROUND(INDEX($D$4:$D$33,$AS30)*INDEX($AK$4:$AK$33,BS$3)*$AV$1,0)</f>
        <v>0</v>
      </c>
      <c r="BT30" s="52" cm="1">
        <f t="array" ref="BT30">ROUND(INDEX($D$4:$D$33,$AS30)*INDEX($AK$4:$AK$33,BT$3)*$AV$1,0)</f>
        <v>83</v>
      </c>
      <c r="BU30" s="53" cm="1">
        <f t="array" ref="BU30">ROUND(INDEX($D$4:$D$33,$AS30)*INDEX($AK$4:$AK$33,BU$3)*$AV$1,0)</f>
        <v>0</v>
      </c>
      <c r="BV30" s="53" cm="1">
        <f t="array" ref="BV30">ROUND(INDEX($D$4:$D$33,$AS30)*INDEX($AK$4:$AK$33,BV$3)*$AV$1,0)</f>
        <v>141</v>
      </c>
      <c r="BW30" s="53" cm="1">
        <f t="array" ref="BW30">ROUND(INDEX($D$4:$D$33,$AS30)*INDEX($AK$4:$AK$33,BW$3)*$AV$1,0)</f>
        <v>200</v>
      </c>
      <c r="BX30" s="38">
        <f t="shared" si="3"/>
        <v>1000</v>
      </c>
      <c r="BZ30">
        <f>BX30+BT34</f>
        <v>1415</v>
      </c>
      <c r="CA30" s="39">
        <v>27</v>
      </c>
      <c r="CD30">
        <v>-0.47583168572865397</v>
      </c>
      <c r="CN30" s="2"/>
    </row>
    <row r="31" spans="1:92" x14ac:dyDescent="0.25">
      <c r="A31" s="1"/>
      <c r="B31" s="10">
        <v>28</v>
      </c>
      <c r="C31" s="4">
        <v>-1.4005810139660999</v>
      </c>
      <c r="D31" s="45">
        <v>0</v>
      </c>
      <c r="E31" s="1"/>
      <c r="F31" s="13">
        <v>-0.10603838279668901</v>
      </c>
      <c r="G31" s="5">
        <v>0.58846490525570305</v>
      </c>
      <c r="H31" s="5">
        <v>0.670401649141806</v>
      </c>
      <c r="I31" s="5">
        <v>-1.3956432240943599</v>
      </c>
      <c r="J31" s="5">
        <v>-0.277100054020467</v>
      </c>
      <c r="K31" s="5">
        <v>-0.478507096767608</v>
      </c>
      <c r="L31" s="5">
        <v>-1.13285495420847E-2</v>
      </c>
      <c r="M31" s="5">
        <v>0.36428358567848002</v>
      </c>
      <c r="N31" s="5">
        <v>0.31454206382537397</v>
      </c>
      <c r="O31" s="5">
        <v>0.80673693545215197</v>
      </c>
      <c r="P31" s="5">
        <v>0.316558278001284</v>
      </c>
      <c r="Q31" s="5">
        <v>0.22304993612130999</v>
      </c>
      <c r="R31" s="5">
        <v>0.66863418435712596</v>
      </c>
      <c r="S31" s="5">
        <v>0.303110589543378</v>
      </c>
      <c r="T31" s="5">
        <v>-0.93663854109233902</v>
      </c>
      <c r="U31" s="5">
        <v>7.76555415951279E-2</v>
      </c>
      <c r="V31" s="5">
        <v>-1.17006505065017</v>
      </c>
      <c r="W31" s="5">
        <v>0.78536382340532795</v>
      </c>
      <c r="X31" s="5">
        <v>-1.49048333217549</v>
      </c>
      <c r="Y31" s="5">
        <v>-0.38879342444725101</v>
      </c>
      <c r="Z31" s="5">
        <v>6.6652411693714095E-2</v>
      </c>
      <c r="AA31" s="5">
        <v>-2.70254795658053E-2</v>
      </c>
      <c r="AB31" s="5">
        <v>1.33143069926559</v>
      </c>
      <c r="AC31" s="5">
        <v>3.9216625781124899E-2</v>
      </c>
      <c r="AD31" s="5">
        <v>-0.43408588193539699</v>
      </c>
      <c r="AE31" s="5">
        <v>0.41508342513684898</v>
      </c>
      <c r="AF31" s="5">
        <v>-0.85327205151082297</v>
      </c>
      <c r="AG31" s="13">
        <v>0</v>
      </c>
      <c r="AH31" s="5">
        <v>0.60549396512855103</v>
      </c>
      <c r="AI31" s="5">
        <v>-2.7504131206376101E-2</v>
      </c>
      <c r="AJ31" s="1"/>
      <c r="AK31" s="26">
        <v>0</v>
      </c>
      <c r="AL31" s="15">
        <f t="shared" si="0"/>
        <v>0</v>
      </c>
      <c r="AM31" s="37">
        <f t="shared" si="1"/>
        <v>0</v>
      </c>
      <c r="AN31" s="1"/>
      <c r="AO31" s="48">
        <v>0.2</v>
      </c>
      <c r="AP31" s="48">
        <v>0.2</v>
      </c>
      <c r="AQ31" s="47">
        <f t="shared" si="2"/>
        <v>0</v>
      </c>
      <c r="AR31" s="36"/>
      <c r="AS31" s="40">
        <v>28</v>
      </c>
      <c r="AT31" s="53" cm="1">
        <f t="array" ref="AT31">ROUND(INDEX($D$4:$D$33,$AS31)*INDEX($AK$4:$AK$33,AT$3)*$AV$1,0)</f>
        <v>0</v>
      </c>
      <c r="AU31" s="53" cm="1">
        <f t="array" ref="AU31">ROUND(INDEX($D$4:$D$33,$AS31)*INDEX($AK$4:$AK$33,AU$3)*$AV$1,0)</f>
        <v>0</v>
      </c>
      <c r="AV31" s="53" cm="1">
        <f t="array" ref="AV31">ROUND(INDEX($D$4:$D$33,$AS31)*INDEX($AK$4:$AK$33,AV$3)*$AV$1,0)</f>
        <v>0</v>
      </c>
      <c r="AW31" s="53" cm="1">
        <f t="array" ref="AW31">ROUND(INDEX($D$4:$D$33,$AS31)*INDEX($AK$4:$AK$33,AW$3)*$AV$1,0)</f>
        <v>0</v>
      </c>
      <c r="AX31" s="53" cm="1">
        <f t="array" ref="AX31">ROUND(INDEX($D$4:$D$33,$AS31)*INDEX($AK$4:$AK$33,AX$3)*$AV$1,0)</f>
        <v>0</v>
      </c>
      <c r="AY31" s="53" cm="1">
        <f t="array" ref="AY31">ROUND(INDEX($D$4:$D$33,$AS31)*INDEX($AK$4:$AK$33,AY$3)*$AV$1,0)</f>
        <v>0</v>
      </c>
      <c r="AZ31" s="53" cm="1">
        <f t="array" ref="AZ31">ROUND(INDEX($D$4:$D$33,$AS31)*INDEX($AK$4:$AK$33,AZ$3)*$AV$1,0)</f>
        <v>0</v>
      </c>
      <c r="BA31" s="53" cm="1">
        <f t="array" ref="BA31">ROUND(INDEX($D$4:$D$33,$AS31)*INDEX($AK$4:$AK$33,BA$3)*$AV$1,0)</f>
        <v>0</v>
      </c>
      <c r="BB31" s="53" cm="1">
        <f t="array" ref="BB31">ROUND(INDEX($D$4:$D$33,$AS31)*INDEX($AK$4:$AK$33,BB$3)*$AV$1,0)</f>
        <v>0</v>
      </c>
      <c r="BC31" s="53" cm="1">
        <f t="array" ref="BC31">ROUND(INDEX($D$4:$D$33,$AS31)*INDEX($AK$4:$AK$33,BC$3)*$AV$1,0)</f>
        <v>0</v>
      </c>
      <c r="BD31" s="53" cm="1">
        <f t="array" ref="BD31">ROUND(INDEX($D$4:$D$33,$AS31)*INDEX($AK$4:$AK$33,BD$3)*$AV$1,0)</f>
        <v>0</v>
      </c>
      <c r="BE31" s="53" cm="1">
        <f t="array" ref="BE31">ROUND(INDEX($D$4:$D$33,$AS31)*INDEX($AK$4:$AK$33,BE$3)*$AV$1,0)</f>
        <v>0</v>
      </c>
      <c r="BF31" s="53" cm="1">
        <f t="array" ref="BF31">ROUND(INDEX($D$4:$D$33,$AS31)*INDEX($AK$4:$AK$33,BF$3)*$AV$1,0)</f>
        <v>0</v>
      </c>
      <c r="BG31" s="53" cm="1">
        <f t="array" ref="BG31">ROUND(INDEX($D$4:$D$33,$AS31)*INDEX($AK$4:$AK$33,BG$3)*$AV$1,0)</f>
        <v>0</v>
      </c>
      <c r="BH31" s="53" cm="1">
        <f t="array" ref="BH31">ROUND(INDEX($D$4:$D$33,$AS31)*INDEX($AK$4:$AK$33,BH$3)*$AV$1,0)</f>
        <v>0</v>
      </c>
      <c r="BI31" s="53" cm="1">
        <f t="array" ref="BI31">ROUND(INDEX($D$4:$D$33,$AS31)*INDEX($AK$4:$AK$33,BI$3)*$AV$1,0)</f>
        <v>0</v>
      </c>
      <c r="BJ31" s="53" cm="1">
        <f t="array" ref="BJ31">ROUND(INDEX($D$4:$D$33,$AS31)*INDEX($AK$4:$AK$33,BJ$3)*$AV$1,0)</f>
        <v>0</v>
      </c>
      <c r="BK31" s="53" cm="1">
        <f t="array" ref="BK31">ROUND(INDEX($D$4:$D$33,$AS31)*INDEX($AK$4:$AK$33,BK$3)*$AV$1,0)</f>
        <v>0</v>
      </c>
      <c r="BL31" s="53" cm="1">
        <f t="array" ref="BL31">ROUND(INDEX($D$4:$D$33,$AS31)*INDEX($AK$4:$AK$33,BL$3)*$AV$1,0)</f>
        <v>0</v>
      </c>
      <c r="BM31" s="53" cm="1">
        <f t="array" ref="BM31">ROUND(INDEX($D$4:$D$33,$AS31)*INDEX($AK$4:$AK$33,BM$3)*$AV$1,0)</f>
        <v>0</v>
      </c>
      <c r="BN31" s="53" cm="1">
        <f t="array" ref="BN31">ROUND(INDEX($D$4:$D$33,$AS31)*INDEX($AK$4:$AK$33,BN$3)*$AV$1,0)</f>
        <v>0</v>
      </c>
      <c r="BO31" s="53" cm="1">
        <f t="array" ref="BO31">ROUND(INDEX($D$4:$D$33,$AS31)*INDEX($AK$4:$AK$33,BO$3)*$AV$1,0)</f>
        <v>0</v>
      </c>
      <c r="BP31" s="53" cm="1">
        <f t="array" ref="BP31">ROUND(INDEX($D$4:$D$33,$AS31)*INDEX($AK$4:$AK$33,BP$3)*$AV$1,0)</f>
        <v>0</v>
      </c>
      <c r="BQ31" s="53" cm="1">
        <f t="array" ref="BQ31">ROUND(INDEX($D$4:$D$33,$AS31)*INDEX($AK$4:$AK$33,BQ$3)*$AV$1,0)</f>
        <v>0</v>
      </c>
      <c r="BR31" s="53" cm="1">
        <f t="array" ref="BR31">ROUND(INDEX($D$4:$D$33,$AS31)*INDEX($AK$4:$AK$33,BR$3)*$AV$1,0)</f>
        <v>0</v>
      </c>
      <c r="BS31" s="53" cm="1">
        <f t="array" ref="BS31">ROUND(INDEX($D$4:$D$33,$AS31)*INDEX($AK$4:$AK$33,BS$3)*$AV$1,0)</f>
        <v>0</v>
      </c>
      <c r="BT31" s="53" cm="1">
        <f t="array" ref="BT31">ROUND(INDEX($D$4:$D$33,$AS31)*INDEX($AK$4:$AK$33,BT$3)*$AV$1,0)</f>
        <v>0</v>
      </c>
      <c r="BU31" s="52" cm="1">
        <f t="array" ref="BU31">ROUND(INDEX($D$4:$D$33,$AS31)*INDEX($AK$4:$AK$33,BU$3)*$AV$1,0)</f>
        <v>0</v>
      </c>
      <c r="BV31" s="53" cm="1">
        <f t="array" ref="BV31">ROUND(INDEX($D$4:$D$33,$AS31)*INDEX($AK$4:$AK$33,BV$3)*$AV$1,0)</f>
        <v>0</v>
      </c>
      <c r="BW31" s="53" cm="1">
        <f t="array" ref="BW31">ROUND(INDEX($D$4:$D$33,$AS31)*INDEX($AK$4:$AK$33,BW$3)*$AV$1,0)</f>
        <v>0</v>
      </c>
      <c r="BX31" s="38">
        <f t="shared" si="3"/>
        <v>0</v>
      </c>
      <c r="BZ31">
        <f>BX31+BU34</f>
        <v>0</v>
      </c>
      <c r="CA31" s="39">
        <v>28</v>
      </c>
      <c r="CD31">
        <v>-7.8833803397557703E-2</v>
      </c>
      <c r="CN31" s="2"/>
    </row>
    <row r="32" spans="1:92" x14ac:dyDescent="0.25">
      <c r="A32" s="1"/>
      <c r="B32" s="10">
        <v>29</v>
      </c>
      <c r="C32" s="4">
        <v>0.48009949039098698</v>
      </c>
      <c r="D32" s="45">
        <v>0</v>
      </c>
      <c r="E32" s="1"/>
      <c r="F32" s="13">
        <v>-1.3282765069042199</v>
      </c>
      <c r="G32" s="5">
        <v>-0.29981922229539698</v>
      </c>
      <c r="H32" s="5">
        <v>0.54959304235560902</v>
      </c>
      <c r="I32" s="5">
        <v>-0.50482191604376803</v>
      </c>
      <c r="J32" s="5">
        <v>1.1205094569346901</v>
      </c>
      <c r="K32" s="5">
        <v>-0.628130959299391</v>
      </c>
      <c r="L32" s="5">
        <v>1.5137950833399301</v>
      </c>
      <c r="M32" s="5">
        <v>-0.48944384316488299</v>
      </c>
      <c r="N32" s="5">
        <v>7.0213828229987604E-2</v>
      </c>
      <c r="O32" s="5">
        <v>1.0146829814095399</v>
      </c>
      <c r="P32" s="5">
        <v>0.87214633088606897</v>
      </c>
      <c r="Q32" s="5">
        <v>-0.53573559091358103</v>
      </c>
      <c r="R32" s="5">
        <v>0.522253613866274</v>
      </c>
      <c r="S32" s="5">
        <v>-0.78797238578175399</v>
      </c>
      <c r="T32" s="5">
        <v>-1.2062315970900299</v>
      </c>
      <c r="U32" s="5">
        <v>0.46751238069171103</v>
      </c>
      <c r="V32" s="5">
        <v>-1.2230415972366799</v>
      </c>
      <c r="W32" s="5">
        <v>-1.5118462788848901</v>
      </c>
      <c r="X32" s="5">
        <v>-4.2460111167729103E-2</v>
      </c>
      <c r="Y32" s="5">
        <v>0.97983129588014894</v>
      </c>
      <c r="Z32" s="5">
        <v>0.86112584927744396</v>
      </c>
      <c r="AA32" s="5">
        <v>-1.0571605774850099</v>
      </c>
      <c r="AB32" s="5">
        <v>2.6363132847846402E-2</v>
      </c>
      <c r="AC32" s="5">
        <v>0.567715437735543</v>
      </c>
      <c r="AD32" s="5">
        <v>0.688618475947123</v>
      </c>
      <c r="AE32" s="5">
        <v>1.10360549287983</v>
      </c>
      <c r="AF32" s="5">
        <v>1.12164780768816</v>
      </c>
      <c r="AG32" s="5">
        <v>0.60549396512855103</v>
      </c>
      <c r="AH32" s="13">
        <v>0</v>
      </c>
      <c r="AI32" s="5">
        <v>0.70610525425945703</v>
      </c>
      <c r="AJ32" s="1"/>
      <c r="AK32" s="26">
        <v>0.14132566974728314</v>
      </c>
      <c r="AL32" s="15">
        <f t="shared" si="0"/>
        <v>6.7850382024835565E-2</v>
      </c>
      <c r="AM32" s="37">
        <f t="shared" si="1"/>
        <v>7.0662834873641573</v>
      </c>
      <c r="AN32" s="1"/>
      <c r="AO32" s="48">
        <v>0.2</v>
      </c>
      <c r="AP32" s="48">
        <v>0.2</v>
      </c>
      <c r="AQ32" s="47">
        <f t="shared" si="2"/>
        <v>7.066283487364157E-2</v>
      </c>
      <c r="AR32" s="36"/>
      <c r="AS32" s="40">
        <v>29</v>
      </c>
      <c r="AT32" s="53" cm="1">
        <f t="array" ref="AT32">ROUND(INDEX($D$4:$D$33,$AS32)*INDEX($AK$4:$AK$33,AT$3)*$AV$1,0)</f>
        <v>0</v>
      </c>
      <c r="AU32" s="53" cm="1">
        <f t="array" ref="AU32">ROUND(INDEX($D$4:$D$33,$AS32)*INDEX($AK$4:$AK$33,AU$3)*$AV$1,0)</f>
        <v>0</v>
      </c>
      <c r="AV32" s="53" cm="1">
        <f t="array" ref="AV32">ROUND(INDEX($D$4:$D$33,$AS32)*INDEX($AK$4:$AK$33,AV$3)*$AV$1,0)</f>
        <v>0</v>
      </c>
      <c r="AW32" s="53" cm="1">
        <f t="array" ref="AW32">ROUND(INDEX($D$4:$D$33,$AS32)*INDEX($AK$4:$AK$33,AW$3)*$AV$1,0)</f>
        <v>0</v>
      </c>
      <c r="AX32" s="53" cm="1">
        <f t="array" ref="AX32">ROUND(INDEX($D$4:$D$33,$AS32)*INDEX($AK$4:$AK$33,AX$3)*$AV$1,0)</f>
        <v>0</v>
      </c>
      <c r="AY32" s="53" cm="1">
        <f t="array" ref="AY32">ROUND(INDEX($D$4:$D$33,$AS32)*INDEX($AK$4:$AK$33,AY$3)*$AV$1,0)</f>
        <v>0</v>
      </c>
      <c r="AZ32" s="53" cm="1">
        <f t="array" ref="AZ32">ROUND(INDEX($D$4:$D$33,$AS32)*INDEX($AK$4:$AK$33,AZ$3)*$AV$1,0)</f>
        <v>0</v>
      </c>
      <c r="BA32" s="53" cm="1">
        <f t="array" ref="BA32">ROUND(INDEX($D$4:$D$33,$AS32)*INDEX($AK$4:$AK$33,BA$3)*$AV$1,0)</f>
        <v>0</v>
      </c>
      <c r="BB32" s="53" cm="1">
        <f t="array" ref="BB32">ROUND(INDEX($D$4:$D$33,$AS32)*INDEX($AK$4:$AK$33,BB$3)*$AV$1,0)</f>
        <v>0</v>
      </c>
      <c r="BC32" s="53" cm="1">
        <f t="array" ref="BC32">ROUND(INDEX($D$4:$D$33,$AS32)*INDEX($AK$4:$AK$33,BC$3)*$AV$1,0)</f>
        <v>0</v>
      </c>
      <c r="BD32" s="53" cm="1">
        <f t="array" ref="BD32">ROUND(INDEX($D$4:$D$33,$AS32)*INDEX($AK$4:$AK$33,BD$3)*$AV$1,0)</f>
        <v>0</v>
      </c>
      <c r="BE32" s="53" cm="1">
        <f t="array" ref="BE32">ROUND(INDEX($D$4:$D$33,$AS32)*INDEX($AK$4:$AK$33,BE$3)*$AV$1,0)</f>
        <v>0</v>
      </c>
      <c r="BF32" s="53" cm="1">
        <f t="array" ref="BF32">ROUND(INDEX($D$4:$D$33,$AS32)*INDEX($AK$4:$AK$33,BF$3)*$AV$1,0)</f>
        <v>0</v>
      </c>
      <c r="BG32" s="53" cm="1">
        <f t="array" ref="BG32">ROUND(INDEX($D$4:$D$33,$AS32)*INDEX($AK$4:$AK$33,BG$3)*$AV$1,0)</f>
        <v>0</v>
      </c>
      <c r="BH32" s="53" cm="1">
        <f t="array" ref="BH32">ROUND(INDEX($D$4:$D$33,$AS32)*INDEX($AK$4:$AK$33,BH$3)*$AV$1,0)</f>
        <v>0</v>
      </c>
      <c r="BI32" s="53" cm="1">
        <f t="array" ref="BI32">ROUND(INDEX($D$4:$D$33,$AS32)*INDEX($AK$4:$AK$33,BI$3)*$AV$1,0)</f>
        <v>0</v>
      </c>
      <c r="BJ32" s="53" cm="1">
        <f t="array" ref="BJ32">ROUND(INDEX($D$4:$D$33,$AS32)*INDEX($AK$4:$AK$33,BJ$3)*$AV$1,0)</f>
        <v>0</v>
      </c>
      <c r="BK32" s="53" cm="1">
        <f t="array" ref="BK32">ROUND(INDEX($D$4:$D$33,$AS32)*INDEX($AK$4:$AK$33,BK$3)*$AV$1,0)</f>
        <v>0</v>
      </c>
      <c r="BL32" s="53" cm="1">
        <f t="array" ref="BL32">ROUND(INDEX($D$4:$D$33,$AS32)*INDEX($AK$4:$AK$33,BL$3)*$AV$1,0)</f>
        <v>0</v>
      </c>
      <c r="BM32" s="53" cm="1">
        <f t="array" ref="BM32">ROUND(INDEX($D$4:$D$33,$AS32)*INDEX($AK$4:$AK$33,BM$3)*$AV$1,0)</f>
        <v>0</v>
      </c>
      <c r="BN32" s="53" cm="1">
        <f t="array" ref="BN32">ROUND(INDEX($D$4:$D$33,$AS32)*INDEX($AK$4:$AK$33,BN$3)*$AV$1,0)</f>
        <v>0</v>
      </c>
      <c r="BO32" s="53" cm="1">
        <f t="array" ref="BO32">ROUND(INDEX($D$4:$D$33,$AS32)*INDEX($AK$4:$AK$33,BO$3)*$AV$1,0)</f>
        <v>0</v>
      </c>
      <c r="BP32" s="53" cm="1">
        <f t="array" ref="BP32">ROUND(INDEX($D$4:$D$33,$AS32)*INDEX($AK$4:$AK$33,BP$3)*$AV$1,0)</f>
        <v>0</v>
      </c>
      <c r="BQ32" s="53" cm="1">
        <f t="array" ref="BQ32">ROUND(INDEX($D$4:$D$33,$AS32)*INDEX($AK$4:$AK$33,BQ$3)*$AV$1,0)</f>
        <v>0</v>
      </c>
      <c r="BR32" s="53" cm="1">
        <f t="array" ref="BR32">ROUND(INDEX($D$4:$D$33,$AS32)*INDEX($AK$4:$AK$33,BR$3)*$AV$1,0)</f>
        <v>0</v>
      </c>
      <c r="BS32" s="53" cm="1">
        <f t="array" ref="BS32">ROUND(INDEX($D$4:$D$33,$AS32)*INDEX($AK$4:$AK$33,BS$3)*$AV$1,0)</f>
        <v>0</v>
      </c>
      <c r="BT32" s="53" cm="1">
        <f t="array" ref="BT32">ROUND(INDEX($D$4:$D$33,$AS32)*INDEX($AK$4:$AK$33,BT$3)*$AV$1,0)</f>
        <v>0</v>
      </c>
      <c r="BU32" s="53" cm="1">
        <f t="array" ref="BU32">ROUND(INDEX($D$4:$D$33,$AS32)*INDEX($AK$4:$AK$33,BU$3)*$AV$1,0)</f>
        <v>0</v>
      </c>
      <c r="BV32" s="52" cm="1">
        <f t="array" ref="BV32">ROUND(INDEX($D$4:$D$33,$AS32)*INDEX($AK$4:$AK$33,BV$3)*$AV$1,0)</f>
        <v>0</v>
      </c>
      <c r="BW32" s="53" cm="1">
        <f t="array" ref="BW32">ROUND(INDEX($D$4:$D$33,$AS32)*INDEX($AK$4:$AK$33,BW$3)*$AV$1,0)</f>
        <v>0</v>
      </c>
      <c r="BX32" s="38">
        <f t="shared" si="3"/>
        <v>0</v>
      </c>
      <c r="BZ32">
        <f>BX32+BV34</f>
        <v>705</v>
      </c>
      <c r="CA32" s="39">
        <v>29</v>
      </c>
      <c r="CD32">
        <v>0.67748319148169001</v>
      </c>
      <c r="CN32" s="2"/>
    </row>
    <row r="33" spans="1:92" ht="15.75" thickBot="1" x14ac:dyDescent="0.3">
      <c r="A33" s="1"/>
      <c r="B33" s="10">
        <v>30</v>
      </c>
      <c r="C33" s="4">
        <v>0.207550677084332</v>
      </c>
      <c r="D33" s="45">
        <v>0.2</v>
      </c>
      <c r="E33" s="1"/>
      <c r="F33" s="13">
        <v>1.2318340230076601</v>
      </c>
      <c r="G33" s="5">
        <v>-1.4152707502880999</v>
      </c>
      <c r="H33" s="5">
        <v>0.59078558875562803</v>
      </c>
      <c r="I33" s="5">
        <v>-0.24240916301278401</v>
      </c>
      <c r="J33" s="5">
        <v>-0.33797024296862599</v>
      </c>
      <c r="K33" s="5">
        <v>-0.62868963814024803</v>
      </c>
      <c r="L33" s="5">
        <v>0.89337929643480096</v>
      </c>
      <c r="M33" s="5">
        <v>0.27096414221656001</v>
      </c>
      <c r="N33" s="5">
        <v>-8.4051916289703404E-2</v>
      </c>
      <c r="O33" s="5">
        <v>0.29503829965059303</v>
      </c>
      <c r="P33" s="5">
        <v>0.71645601441023699</v>
      </c>
      <c r="Q33" s="5">
        <v>-0.61484171393075204</v>
      </c>
      <c r="R33" s="5">
        <v>-0.56192395395350403</v>
      </c>
      <c r="S33" s="5">
        <v>0.48684463209365397</v>
      </c>
      <c r="T33" s="5">
        <v>1.1212400782956</v>
      </c>
      <c r="U33" s="5">
        <v>0.88400994210606498</v>
      </c>
      <c r="V33" s="5">
        <v>-8.1744024113293998E-2</v>
      </c>
      <c r="W33" s="5">
        <v>-0.94170340829253596</v>
      </c>
      <c r="X33" s="5">
        <v>-1.65661371108706</v>
      </c>
      <c r="Y33" s="5">
        <v>-0.65517921720258798</v>
      </c>
      <c r="Z33" s="5">
        <v>0.79872485015633399</v>
      </c>
      <c r="AA33" s="5">
        <v>-0.38829179953992798</v>
      </c>
      <c r="AB33" s="5">
        <v>0.20062861118400899</v>
      </c>
      <c r="AC33" s="5">
        <v>0.150457698554741</v>
      </c>
      <c r="AD33" s="5">
        <v>-1.55758881563156</v>
      </c>
      <c r="AE33" s="5">
        <v>0.88464220802668103</v>
      </c>
      <c r="AF33" s="5">
        <v>1.4316826477176701</v>
      </c>
      <c r="AG33" s="5">
        <v>-2.7504131206376101E-2</v>
      </c>
      <c r="AH33" s="5">
        <v>0.70610525425945703</v>
      </c>
      <c r="AI33" s="13">
        <v>0</v>
      </c>
      <c r="AJ33" s="1"/>
      <c r="AK33" s="26">
        <v>0.2</v>
      </c>
      <c r="AL33" s="15">
        <f t="shared" si="0"/>
        <v>8.3020270833732812E-2</v>
      </c>
      <c r="AM33" s="37">
        <f t="shared" si="1"/>
        <v>20</v>
      </c>
      <c r="AN33" s="1"/>
      <c r="AO33" s="48">
        <v>0.2</v>
      </c>
      <c r="AP33" s="48">
        <v>0.2</v>
      </c>
      <c r="AQ33" s="47">
        <f t="shared" si="2"/>
        <v>0.2</v>
      </c>
      <c r="AR33" s="36"/>
      <c r="AS33" s="40">
        <v>30</v>
      </c>
      <c r="AT33" s="53" cm="1">
        <f t="array" ref="AT33">ROUND(INDEX($D$4:$D$33,$AS33)*INDEX($AK$4:$AK$33,AT$3)*$AV$1,0)</f>
        <v>0</v>
      </c>
      <c r="AU33" s="53" cm="1">
        <f t="array" ref="AU33">ROUND(INDEX($D$4:$D$33,$AS33)*INDEX($AK$4:$AK$33,AU$3)*$AV$1,0)</f>
        <v>0</v>
      </c>
      <c r="AV33" s="53" cm="1">
        <f t="array" ref="AV33">ROUND(INDEX($D$4:$D$33,$AS33)*INDEX($AK$4:$AK$33,AV$3)*$AV$1,0)</f>
        <v>0</v>
      </c>
      <c r="AW33" s="53" cm="1">
        <f t="array" ref="AW33">ROUND(INDEX($D$4:$D$33,$AS33)*INDEX($AK$4:$AK$33,AW$3)*$AV$1,0)</f>
        <v>0</v>
      </c>
      <c r="AX33" s="53" cm="1">
        <f t="array" ref="AX33">ROUND(INDEX($D$4:$D$33,$AS33)*INDEX($AK$4:$AK$33,AX$3)*$AV$1,0)</f>
        <v>0</v>
      </c>
      <c r="AY33" s="53" cm="1">
        <f t="array" ref="AY33">ROUND(INDEX($D$4:$D$33,$AS33)*INDEX($AK$4:$AK$33,AY$3)*$AV$1,0)</f>
        <v>0</v>
      </c>
      <c r="AZ33" s="53" cm="1">
        <f t="array" ref="AZ33">ROUND(INDEX($D$4:$D$33,$AS33)*INDEX($AK$4:$AK$33,AZ$3)*$AV$1,0)</f>
        <v>0</v>
      </c>
      <c r="BA33" s="53" cm="1">
        <f t="array" ref="BA33">ROUND(INDEX($D$4:$D$33,$AS33)*INDEX($AK$4:$AK$33,BA$3)*$AV$1,0)</f>
        <v>0</v>
      </c>
      <c r="BB33" s="53" cm="1">
        <f t="array" ref="BB33">ROUND(INDEX($D$4:$D$33,$AS33)*INDEX($AK$4:$AK$33,BB$3)*$AV$1,0)</f>
        <v>94</v>
      </c>
      <c r="BC33" s="53" cm="1">
        <f t="array" ref="BC33">ROUND(INDEX($D$4:$D$33,$AS33)*INDEX($AK$4:$AK$33,BC$3)*$AV$1,0)</f>
        <v>0</v>
      </c>
      <c r="BD33" s="53" cm="1">
        <f t="array" ref="BD33">ROUND(INDEX($D$4:$D$33,$AS33)*INDEX($AK$4:$AK$33,BD$3)*$AV$1,0)</f>
        <v>183</v>
      </c>
      <c r="BE33" s="53" cm="1">
        <f t="array" ref="BE33">ROUND(INDEX($D$4:$D$33,$AS33)*INDEX($AK$4:$AK$33,BE$3)*$AV$1,0)</f>
        <v>61</v>
      </c>
      <c r="BF33" s="53" cm="1">
        <f t="array" ref="BF33">ROUND(INDEX($D$4:$D$33,$AS33)*INDEX($AK$4:$AK$33,BF$3)*$AV$1,0)</f>
        <v>0</v>
      </c>
      <c r="BG33" s="53" cm="1">
        <f t="array" ref="BG33">ROUND(INDEX($D$4:$D$33,$AS33)*INDEX($AK$4:$AK$33,BG$3)*$AV$1,0)</f>
        <v>0</v>
      </c>
      <c r="BH33" s="53" cm="1">
        <f t="array" ref="BH33">ROUND(INDEX($D$4:$D$33,$AS33)*INDEX($AK$4:$AK$33,BH$3)*$AV$1,0)</f>
        <v>195</v>
      </c>
      <c r="BI33" s="53" cm="1">
        <f t="array" ref="BI33">ROUND(INDEX($D$4:$D$33,$AS33)*INDEX($AK$4:$AK$33,BI$3)*$AV$1,0)</f>
        <v>0</v>
      </c>
      <c r="BJ33" s="53" cm="1">
        <f t="array" ref="BJ33">ROUND(INDEX($D$4:$D$33,$AS33)*INDEX($AK$4:$AK$33,BJ$3)*$AV$1,0)</f>
        <v>30</v>
      </c>
      <c r="BK33" s="53" cm="1">
        <f t="array" ref="BK33">ROUND(INDEX($D$4:$D$33,$AS33)*INDEX($AK$4:$AK$33,BK$3)*$AV$1,0)</f>
        <v>0</v>
      </c>
      <c r="BL33" s="53" cm="1">
        <f t="array" ref="BL33">ROUND(INDEX($D$4:$D$33,$AS33)*INDEX($AK$4:$AK$33,BL$3)*$AV$1,0)</f>
        <v>0</v>
      </c>
      <c r="BM33" s="53" cm="1">
        <f t="array" ref="BM33">ROUND(INDEX($D$4:$D$33,$AS33)*INDEX($AK$4:$AK$33,BM$3)*$AV$1,0)</f>
        <v>0</v>
      </c>
      <c r="BN33" s="53" cm="1">
        <f t="array" ref="BN33">ROUND(INDEX($D$4:$D$33,$AS33)*INDEX($AK$4:$AK$33,BN$3)*$AV$1,0)</f>
        <v>0</v>
      </c>
      <c r="BO33" s="53" cm="1">
        <f t="array" ref="BO33">ROUND(INDEX($D$4:$D$33,$AS33)*INDEX($AK$4:$AK$33,BO$3)*$AV$1,0)</f>
        <v>0</v>
      </c>
      <c r="BP33" s="53" cm="1">
        <f t="array" ref="BP33">ROUND(INDEX($D$4:$D$33,$AS33)*INDEX($AK$4:$AK$33,BP$3)*$AV$1,0)</f>
        <v>0</v>
      </c>
      <c r="BQ33" s="53" cm="1">
        <f t="array" ref="BQ33">ROUND(INDEX($D$4:$D$33,$AS33)*INDEX($AK$4:$AK$33,BQ$3)*$AV$1,0)</f>
        <v>13</v>
      </c>
      <c r="BR33" s="53" cm="1">
        <f t="array" ref="BR33">ROUND(INDEX($D$4:$D$33,$AS33)*INDEX($AK$4:$AK$33,BR$3)*$AV$1,0)</f>
        <v>0</v>
      </c>
      <c r="BS33" s="53" cm="1">
        <f t="array" ref="BS33">ROUND(INDEX($D$4:$D$33,$AS33)*INDEX($AK$4:$AK$33,BS$3)*$AV$1,0)</f>
        <v>0</v>
      </c>
      <c r="BT33" s="53" cm="1">
        <f t="array" ref="BT33">ROUND(INDEX($D$4:$D$33,$AS33)*INDEX($AK$4:$AK$33,BT$3)*$AV$1,0)</f>
        <v>83</v>
      </c>
      <c r="BU33" s="53" cm="1">
        <f t="array" ref="BU33">ROUND(INDEX($D$4:$D$33,$AS33)*INDEX($AK$4:$AK$33,BU$3)*$AV$1,0)</f>
        <v>0</v>
      </c>
      <c r="BV33" s="53" cm="1">
        <f t="array" ref="BV33">ROUND(INDEX($D$4:$D$33,$AS33)*INDEX($AK$4:$AK$33,BV$3)*$AV$1,0)</f>
        <v>141</v>
      </c>
      <c r="BW33" s="52" cm="1">
        <f t="array" ref="BW33">ROUND(INDEX($D$4:$D$33,$AS33)*INDEX($AK$4:$AK$33,BW$3)*$AV$1,0)</f>
        <v>200</v>
      </c>
      <c r="BX33" s="38">
        <f t="shared" si="3"/>
        <v>1000</v>
      </c>
      <c r="BZ33">
        <f>BX33+BW34</f>
        <v>2000</v>
      </c>
      <c r="CA33" s="39">
        <v>30</v>
      </c>
      <c r="CD33">
        <v>1.6397195168077701E-2</v>
      </c>
      <c r="CN33" s="2"/>
    </row>
    <row r="34" spans="1:92" x14ac:dyDescent="0.25">
      <c r="A34" s="1"/>
      <c r="B34" s="1"/>
      <c r="C34" s="1"/>
      <c r="D34" s="21">
        <f>SUM(D4:D33)</f>
        <v>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4">
        <f>SUM(AK4:AK33)</f>
        <v>1</v>
      </c>
      <c r="AL34" s="25" t="s">
        <v>1</v>
      </c>
      <c r="AM34" s="8" t="s">
        <v>2</v>
      </c>
      <c r="AN34" s="16"/>
      <c r="AO34" s="28"/>
      <c r="AP34" s="1"/>
      <c r="AQ34" s="43">
        <f>SUM(AQ4:AQ33)</f>
        <v>1.0000000000000002</v>
      </c>
      <c r="AT34" s="38">
        <f t="shared" ref="AT34:BW34" si="4">SUM(AT4:AT33)</f>
        <v>0</v>
      </c>
      <c r="AU34" s="38">
        <f t="shared" si="4"/>
        <v>0</v>
      </c>
      <c r="AV34" s="38">
        <f t="shared" si="4"/>
        <v>0</v>
      </c>
      <c r="AW34" s="38">
        <f t="shared" si="4"/>
        <v>0</v>
      </c>
      <c r="AX34" s="38">
        <f t="shared" si="4"/>
        <v>0</v>
      </c>
      <c r="AY34" s="38">
        <f t="shared" si="4"/>
        <v>0</v>
      </c>
      <c r="AZ34" s="38">
        <f t="shared" si="4"/>
        <v>0</v>
      </c>
      <c r="BA34" s="38">
        <f t="shared" si="4"/>
        <v>0</v>
      </c>
      <c r="BB34" s="38">
        <f t="shared" si="4"/>
        <v>469</v>
      </c>
      <c r="BC34" s="38">
        <f t="shared" si="4"/>
        <v>0</v>
      </c>
      <c r="BD34" s="38">
        <f t="shared" si="4"/>
        <v>916</v>
      </c>
      <c r="BE34" s="38">
        <f t="shared" si="4"/>
        <v>304</v>
      </c>
      <c r="BF34" s="38">
        <f t="shared" si="4"/>
        <v>0</v>
      </c>
      <c r="BG34" s="38">
        <f t="shared" si="4"/>
        <v>0</v>
      </c>
      <c r="BH34" s="38">
        <f t="shared" si="4"/>
        <v>976</v>
      </c>
      <c r="BI34" s="38">
        <f t="shared" si="4"/>
        <v>0</v>
      </c>
      <c r="BJ34" s="38">
        <f t="shared" si="4"/>
        <v>149</v>
      </c>
      <c r="BK34" s="38">
        <f t="shared" si="4"/>
        <v>0</v>
      </c>
      <c r="BL34" s="38">
        <f t="shared" si="4"/>
        <v>0</v>
      </c>
      <c r="BM34" s="38">
        <f t="shared" si="4"/>
        <v>0</v>
      </c>
      <c r="BN34" s="38">
        <f t="shared" si="4"/>
        <v>0</v>
      </c>
      <c r="BO34" s="38">
        <f t="shared" si="4"/>
        <v>0</v>
      </c>
      <c r="BP34" s="38">
        <f t="shared" si="4"/>
        <v>0</v>
      </c>
      <c r="BQ34" s="38">
        <f t="shared" si="4"/>
        <v>64</v>
      </c>
      <c r="BR34" s="38">
        <f t="shared" si="4"/>
        <v>0</v>
      </c>
      <c r="BS34" s="38">
        <f t="shared" si="4"/>
        <v>0</v>
      </c>
      <c r="BT34" s="38">
        <f t="shared" si="4"/>
        <v>415</v>
      </c>
      <c r="BU34" s="38">
        <f t="shared" si="4"/>
        <v>0</v>
      </c>
      <c r="BV34" s="38">
        <f t="shared" si="4"/>
        <v>705</v>
      </c>
      <c r="BW34" s="38">
        <f t="shared" si="4"/>
        <v>1000</v>
      </c>
      <c r="BZ34" s="46"/>
      <c r="CA34" s="46"/>
    </row>
    <row r="35" spans="1:92" ht="15.75" thickBot="1" x14ac:dyDescent="0.3">
      <c r="A35" s="1"/>
      <c r="B35" s="1"/>
      <c r="C35" s="1"/>
      <c r="D35" s="2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1" t="s">
        <v>6</v>
      </c>
      <c r="AL35" s="27">
        <f>0.5*SUM(AL4:AL33)</f>
        <v>0.74844369449666004</v>
      </c>
      <c r="AM35" s="27">
        <f>SUM(F42:AI71)</f>
        <v>0.56014742267507978</v>
      </c>
      <c r="AN35" s="17"/>
      <c r="AO35" s="29"/>
      <c r="AP35" s="1"/>
      <c r="AT35">
        <f>SUM(AT4:BW33)</f>
        <v>4998</v>
      </c>
    </row>
    <row r="36" spans="1:92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92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20" t="s">
        <v>7</v>
      </c>
      <c r="AL37" s="49">
        <v>5</v>
      </c>
      <c r="AM37" s="1"/>
      <c r="AN37" s="22" t="s">
        <v>8</v>
      </c>
      <c r="AO37" s="30">
        <f>AL35+AM35</f>
        <v>1.3085911171717397</v>
      </c>
      <c r="AP37" s="1"/>
    </row>
    <row r="38" spans="1:92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s">
        <v>17</v>
      </c>
      <c r="AL38" s="50">
        <f>AT110</f>
        <v>5.0000000006537535</v>
      </c>
      <c r="AM38" s="1"/>
      <c r="AN38" s="23" t="s">
        <v>9</v>
      </c>
      <c r="AO38" s="31">
        <f>AM35/AO37</f>
        <v>0.42805381705916468</v>
      </c>
      <c r="AP38" s="1"/>
    </row>
    <row r="39" spans="1:9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1" spans="1:92" x14ac:dyDescent="0.25">
      <c r="E41" s="32"/>
      <c r="F41" s="33">
        <v>1</v>
      </c>
      <c r="G41" s="33">
        <v>2</v>
      </c>
      <c r="H41" s="33">
        <v>3</v>
      </c>
      <c r="I41" s="33">
        <v>4</v>
      </c>
      <c r="J41" s="33">
        <v>5</v>
      </c>
      <c r="K41" s="33">
        <v>6</v>
      </c>
      <c r="L41" s="33">
        <v>7</v>
      </c>
      <c r="M41" s="33">
        <v>8</v>
      </c>
      <c r="N41" s="33">
        <v>9</v>
      </c>
      <c r="O41" s="33">
        <v>10</v>
      </c>
      <c r="P41" s="33">
        <v>11</v>
      </c>
      <c r="Q41" s="33">
        <v>12</v>
      </c>
      <c r="R41" s="33">
        <v>13</v>
      </c>
      <c r="S41" s="33">
        <v>14</v>
      </c>
      <c r="T41" s="33">
        <v>15</v>
      </c>
      <c r="U41" s="33">
        <v>16</v>
      </c>
      <c r="V41" s="33">
        <v>17</v>
      </c>
      <c r="W41" s="33">
        <v>18</v>
      </c>
      <c r="X41" s="33">
        <v>19</v>
      </c>
      <c r="Y41" s="33">
        <v>20</v>
      </c>
      <c r="Z41" s="33">
        <v>21</v>
      </c>
      <c r="AA41" s="33">
        <v>22</v>
      </c>
      <c r="AB41" s="33">
        <v>23</v>
      </c>
      <c r="AC41" s="33">
        <v>24</v>
      </c>
      <c r="AD41" s="33">
        <v>25</v>
      </c>
      <c r="AE41" s="33">
        <v>26</v>
      </c>
      <c r="AF41" s="33">
        <v>27</v>
      </c>
      <c r="AG41" s="33">
        <v>28</v>
      </c>
      <c r="AH41" s="33">
        <v>29</v>
      </c>
      <c r="AI41" s="33">
        <v>30</v>
      </c>
      <c r="AO41" s="37"/>
    </row>
    <row r="42" spans="1:92" x14ac:dyDescent="0.25">
      <c r="E42" s="33">
        <v>1</v>
      </c>
      <c r="F42" s="32" cm="1">
        <f t="array" ref="F42">INDEX($D$4:$D$33,$E42)*INDEX($AK$4:$AK$33,F$41)*F4</f>
        <v>0</v>
      </c>
      <c r="G42" s="32" cm="1">
        <f t="array" ref="G42">INDEX($D$4:$D$33,$E42)*INDEX($AK$4:$AK$33,G$41)*G4</f>
        <v>0</v>
      </c>
      <c r="H42" s="32" cm="1">
        <f t="array" ref="H42">INDEX($D$4:$D$33,$E42)*INDEX($AK$4:$AK$33,H$41)*H4</f>
        <v>0</v>
      </c>
      <c r="I42" s="32" cm="1">
        <f t="array" ref="I42">INDEX($D$4:$D$33,$E42)*INDEX($AK$4:$AK$33,I$41)*I4</f>
        <v>0</v>
      </c>
      <c r="J42" s="32" cm="1">
        <f t="array" ref="J42">INDEX($D$4:$D$33,$E42)*INDEX($AK$4:$AK$33,J$41)*J4</f>
        <v>0</v>
      </c>
      <c r="K42" s="32" cm="1">
        <f t="array" ref="K42">INDEX($D$4:$D$33,$E42)*INDEX($AK$4:$AK$33,K$41)*K4</f>
        <v>0</v>
      </c>
      <c r="L42" s="32" cm="1">
        <f t="array" ref="L42">INDEX($D$4:$D$33,$E42)*INDEX($AK$4:$AK$33,L$41)*L4</f>
        <v>0</v>
      </c>
      <c r="M42" s="32" cm="1">
        <f t="array" ref="M42">INDEX($D$4:$D$33,$E42)*INDEX($AK$4:$AK$33,M$41)*M4</f>
        <v>0</v>
      </c>
      <c r="N42" s="32" cm="1">
        <f t="array" ref="N42">INDEX($D$4:$D$33,$E42)*INDEX($AK$4:$AK$33,N$41)*N4</f>
        <v>0</v>
      </c>
      <c r="O42" s="32" cm="1">
        <f t="array" ref="O42">INDEX($D$4:$D$33,$E42)*INDEX($AK$4:$AK$33,O$41)*O4</f>
        <v>0</v>
      </c>
      <c r="P42" s="32" cm="1">
        <f t="array" ref="P42">INDEX($D$4:$D$33,$E42)*INDEX($AK$4:$AK$33,P$41)*P4</f>
        <v>0</v>
      </c>
      <c r="Q42" s="32" cm="1">
        <f t="array" ref="Q42">INDEX($D$4:$D$33,$E42)*INDEX($AK$4:$AK$33,Q$41)*Q4</f>
        <v>0</v>
      </c>
      <c r="R42" s="32" cm="1">
        <f t="array" ref="R42">INDEX($D$4:$D$33,$E42)*INDEX($AK$4:$AK$33,R$41)*R4</f>
        <v>0</v>
      </c>
      <c r="S42" s="32" cm="1">
        <f t="array" ref="S42">INDEX($D$4:$D$33,$E42)*INDEX($AK$4:$AK$33,S$41)*S4</f>
        <v>0</v>
      </c>
      <c r="T42" s="32" cm="1">
        <f t="array" ref="T42">INDEX($D$4:$D$33,$E42)*INDEX($AK$4:$AK$33,T$41)*T4</f>
        <v>0</v>
      </c>
      <c r="U42" s="32" cm="1">
        <f t="array" ref="U42">INDEX($D$4:$D$33,$E42)*INDEX($AK$4:$AK$33,U$41)*U4</f>
        <v>0</v>
      </c>
      <c r="V42" s="32" cm="1">
        <f t="array" ref="V42">INDEX($D$4:$D$33,$E42)*INDEX($AK$4:$AK$33,V$41)*V4</f>
        <v>0</v>
      </c>
      <c r="W42" s="32" cm="1">
        <f t="array" ref="W42">INDEX($D$4:$D$33,$E42)*INDEX($AK$4:$AK$33,W$41)*W4</f>
        <v>0</v>
      </c>
      <c r="X42" s="32" cm="1">
        <f t="array" ref="X42">INDEX($D$4:$D$33,$E42)*INDEX($AK$4:$AK$33,X$41)*X4</f>
        <v>0</v>
      </c>
      <c r="Y42" s="32" cm="1">
        <f t="array" ref="Y42">INDEX($D$4:$D$33,$E42)*INDEX($AK$4:$AK$33,Y$41)*Y4</f>
        <v>0</v>
      </c>
      <c r="Z42" s="32" cm="1">
        <f t="array" ref="Z42">INDEX($D$4:$D$33,$E42)*INDEX($AK$4:$AK$33,Z$41)*Z4</f>
        <v>0</v>
      </c>
      <c r="AA42" s="32" cm="1">
        <f t="array" ref="AA42">INDEX($D$4:$D$33,$E42)*INDEX($AK$4:$AK$33,AA$41)*AA4</f>
        <v>0</v>
      </c>
      <c r="AB42" s="32" cm="1">
        <f t="array" ref="AB42">INDEX($D$4:$D$33,$E42)*INDEX($AK$4:$AK$33,AB$41)*AB4</f>
        <v>0</v>
      </c>
      <c r="AC42" s="32" cm="1">
        <f t="array" ref="AC42">INDEX($D$4:$D$33,$E42)*INDEX($AK$4:$AK$33,AC$41)*AC4</f>
        <v>0</v>
      </c>
      <c r="AD42" s="32" cm="1">
        <f t="array" ref="AD42">INDEX($D$4:$D$33,$E42)*INDEX($AK$4:$AK$33,AD$41)*AD4</f>
        <v>0</v>
      </c>
      <c r="AE42" s="32" cm="1">
        <f t="array" ref="AE42">INDEX($D$4:$D$33,$E42)*INDEX($AK$4:$AK$33,AE$41)*AE4</f>
        <v>0</v>
      </c>
      <c r="AF42" s="32" cm="1">
        <f t="array" ref="AF42">INDEX($D$4:$D$33,$E42)*INDEX($AK$4:$AK$33,AF$41)*AF4</f>
        <v>0</v>
      </c>
      <c r="AG42" s="32" cm="1">
        <f t="array" ref="AG42">INDEX($D$4:$D$33,$E42)*INDEX($AK$4:$AK$33,AG$41)*AG4</f>
        <v>0</v>
      </c>
      <c r="AH42" s="32" cm="1">
        <f t="array" ref="AH42">INDEX($D$4:$D$33,$E42)*INDEX($AK$4:$AK$33,AH$41)*AH4</f>
        <v>0</v>
      </c>
      <c r="AI42" s="32" cm="1">
        <f t="array" ref="AI42">INDEX($D$4:$D$33,$E42)*INDEX($AK$4:$AK$33,AI$41)*AI4</f>
        <v>0</v>
      </c>
      <c r="AR42" s="39" t="s">
        <v>14</v>
      </c>
      <c r="AT42">
        <v>1</v>
      </c>
      <c r="AU42">
        <v>2</v>
      </c>
      <c r="AV42">
        <v>3</v>
      </c>
      <c r="AW42">
        <v>4</v>
      </c>
      <c r="AX42">
        <v>5</v>
      </c>
      <c r="AY42">
        <v>6</v>
      </c>
      <c r="AZ42">
        <v>7</v>
      </c>
      <c r="BA42">
        <v>8</v>
      </c>
      <c r="BB42">
        <v>9</v>
      </c>
      <c r="BC42">
        <v>10</v>
      </c>
      <c r="BD42">
        <v>11</v>
      </c>
      <c r="BE42">
        <v>12</v>
      </c>
      <c r="BF42">
        <v>13</v>
      </c>
      <c r="BG42">
        <v>14</v>
      </c>
      <c r="BH42">
        <v>15</v>
      </c>
      <c r="BI42">
        <v>16</v>
      </c>
      <c r="BJ42">
        <v>17</v>
      </c>
      <c r="BK42">
        <v>18</v>
      </c>
      <c r="BL42">
        <v>19</v>
      </c>
      <c r="BM42">
        <v>20</v>
      </c>
      <c r="BN42">
        <v>21</v>
      </c>
      <c r="BO42">
        <v>22</v>
      </c>
      <c r="BP42">
        <v>23</v>
      </c>
      <c r="BQ42">
        <v>24</v>
      </c>
      <c r="BR42">
        <v>25</v>
      </c>
      <c r="BS42">
        <v>26</v>
      </c>
      <c r="BT42">
        <v>27</v>
      </c>
      <c r="BU42">
        <v>28</v>
      </c>
      <c r="BV42">
        <v>29</v>
      </c>
      <c r="BW42">
        <v>30</v>
      </c>
    </row>
    <row r="43" spans="1:92" x14ac:dyDescent="0.25">
      <c r="E43" s="33">
        <v>2</v>
      </c>
      <c r="F43" s="32" cm="1">
        <f t="array" ref="F43">INDEX($D$4:$D$33,$E43)*INDEX($AK$4:$AK$33,F$41)*F5</f>
        <v>0</v>
      </c>
      <c r="G43" s="32" cm="1">
        <f t="array" ref="G43">INDEX($D$4:$D$33,$E43)*INDEX($AK$4:$AK$33,G$41)*G5</f>
        <v>0</v>
      </c>
      <c r="H43" s="32" cm="1">
        <f t="array" ref="H43">INDEX($D$4:$D$33,$E43)*INDEX($AK$4:$AK$33,H$41)*H5</f>
        <v>0</v>
      </c>
      <c r="I43" s="32" cm="1">
        <f t="array" ref="I43">INDEX($D$4:$D$33,$E43)*INDEX($AK$4:$AK$33,I$41)*I5</f>
        <v>0</v>
      </c>
      <c r="J43" s="32" cm="1">
        <f t="array" ref="J43">INDEX($D$4:$D$33,$E43)*INDEX($AK$4:$AK$33,J$41)*J5</f>
        <v>0</v>
      </c>
      <c r="K43" s="32" cm="1">
        <f t="array" ref="K43">INDEX($D$4:$D$33,$E43)*INDEX($AK$4:$AK$33,K$41)*K5</f>
        <v>0</v>
      </c>
      <c r="L43" s="32" cm="1">
        <f t="array" ref="L43">INDEX($D$4:$D$33,$E43)*INDEX($AK$4:$AK$33,L$41)*L5</f>
        <v>0</v>
      </c>
      <c r="M43" s="32" cm="1">
        <f t="array" ref="M43">INDEX($D$4:$D$33,$E43)*INDEX($AK$4:$AK$33,M$41)*M5</f>
        <v>0</v>
      </c>
      <c r="N43" s="32" cm="1">
        <f t="array" ref="N43">INDEX($D$4:$D$33,$E43)*INDEX($AK$4:$AK$33,N$41)*N5</f>
        <v>0</v>
      </c>
      <c r="O43" s="32" cm="1">
        <f t="array" ref="O43">INDEX($D$4:$D$33,$E43)*INDEX($AK$4:$AK$33,O$41)*O5</f>
        <v>0</v>
      </c>
      <c r="P43" s="32" cm="1">
        <f t="array" ref="P43">INDEX($D$4:$D$33,$E43)*INDEX($AK$4:$AK$33,P$41)*P5</f>
        <v>0</v>
      </c>
      <c r="Q43" s="32" cm="1">
        <f t="array" ref="Q43">INDEX($D$4:$D$33,$E43)*INDEX($AK$4:$AK$33,Q$41)*Q5</f>
        <v>0</v>
      </c>
      <c r="R43" s="32" cm="1">
        <f t="array" ref="R43">INDEX($D$4:$D$33,$E43)*INDEX($AK$4:$AK$33,R$41)*R5</f>
        <v>0</v>
      </c>
      <c r="S43" s="32" cm="1">
        <f t="array" ref="S43">INDEX($D$4:$D$33,$E43)*INDEX($AK$4:$AK$33,S$41)*S5</f>
        <v>0</v>
      </c>
      <c r="T43" s="32" cm="1">
        <f t="array" ref="T43">INDEX($D$4:$D$33,$E43)*INDEX($AK$4:$AK$33,T$41)*T5</f>
        <v>0</v>
      </c>
      <c r="U43" s="32" cm="1">
        <f t="array" ref="U43">INDEX($D$4:$D$33,$E43)*INDEX($AK$4:$AK$33,U$41)*U5</f>
        <v>0</v>
      </c>
      <c r="V43" s="32" cm="1">
        <f t="array" ref="V43">INDEX($D$4:$D$33,$E43)*INDEX($AK$4:$AK$33,V$41)*V5</f>
        <v>0</v>
      </c>
      <c r="W43" s="32" cm="1">
        <f t="array" ref="W43">INDEX($D$4:$D$33,$E43)*INDEX($AK$4:$AK$33,W$41)*W5</f>
        <v>0</v>
      </c>
      <c r="X43" s="32" cm="1">
        <f t="array" ref="X43">INDEX($D$4:$D$33,$E43)*INDEX($AK$4:$AK$33,X$41)*X5</f>
        <v>0</v>
      </c>
      <c r="Y43" s="32" cm="1">
        <f t="array" ref="Y43">INDEX($D$4:$D$33,$E43)*INDEX($AK$4:$AK$33,Y$41)*Y5</f>
        <v>0</v>
      </c>
      <c r="Z43" s="32" cm="1">
        <f t="array" ref="Z43">INDEX($D$4:$D$33,$E43)*INDEX($AK$4:$AK$33,Z$41)*Z5</f>
        <v>0</v>
      </c>
      <c r="AA43" s="32" cm="1">
        <f t="array" ref="AA43">INDEX($D$4:$D$33,$E43)*INDEX($AK$4:$AK$33,AA$41)*AA5</f>
        <v>0</v>
      </c>
      <c r="AB43" s="32" cm="1">
        <f t="array" ref="AB43">INDEX($D$4:$D$33,$E43)*INDEX($AK$4:$AK$33,AB$41)*AB5</f>
        <v>0</v>
      </c>
      <c r="AC43" s="32" cm="1">
        <f t="array" ref="AC43">INDEX($D$4:$D$33,$E43)*INDEX($AK$4:$AK$33,AC$41)*AC5</f>
        <v>0</v>
      </c>
      <c r="AD43" s="32" cm="1">
        <f t="array" ref="AD43">INDEX($D$4:$D$33,$E43)*INDEX($AK$4:$AK$33,AD$41)*AD5</f>
        <v>0</v>
      </c>
      <c r="AE43" s="32" cm="1">
        <f t="array" ref="AE43">INDEX($D$4:$D$33,$E43)*INDEX($AK$4:$AK$33,AE$41)*AE5</f>
        <v>0</v>
      </c>
      <c r="AF43" s="32" cm="1">
        <f t="array" ref="AF43">INDEX($D$4:$D$33,$E43)*INDEX($AK$4:$AK$33,AF$41)*AF5</f>
        <v>0</v>
      </c>
      <c r="AG43" s="32" cm="1">
        <f t="array" ref="AG43">INDEX($D$4:$D$33,$E43)*INDEX($AK$4:$AK$33,AG$41)*AG5</f>
        <v>0</v>
      </c>
      <c r="AH43" s="32" cm="1">
        <f t="array" ref="AH43">INDEX($D$4:$D$33,$E43)*INDEX($AK$4:$AK$33,AH$41)*AH5</f>
        <v>0</v>
      </c>
      <c r="AI43" s="32" cm="1">
        <f t="array" ref="AI43">INDEX($D$4:$D$33,$E43)*INDEX($AK$4:$AK$33,AI$41)*AI5</f>
        <v>0</v>
      </c>
      <c r="AS43">
        <v>1</v>
      </c>
      <c r="AT43" s="51">
        <v>1.06294473727864</v>
      </c>
      <c r="AU43" s="51">
        <v>0</v>
      </c>
      <c r="AV43" s="51">
        <v>0</v>
      </c>
      <c r="AW43" s="51">
        <v>0.25858527246374502</v>
      </c>
      <c r="AX43" s="51">
        <v>0</v>
      </c>
      <c r="AY43" s="51">
        <v>0</v>
      </c>
      <c r="AZ43" s="51">
        <v>0.24699967531969599</v>
      </c>
      <c r="BA43" s="51">
        <v>0.25681434511967299</v>
      </c>
      <c r="BB43" s="51">
        <v>0.24151708579126099</v>
      </c>
      <c r="BC43" s="51">
        <v>0</v>
      </c>
      <c r="BD43" s="51">
        <v>0</v>
      </c>
      <c r="BE43" s="51">
        <v>0.25094431059927602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0.25781806505071603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0.24324364616386501</v>
      </c>
    </row>
    <row r="44" spans="1:92" x14ac:dyDescent="0.25">
      <c r="E44" s="33">
        <v>3</v>
      </c>
      <c r="F44" s="32" cm="1">
        <f t="array" ref="F44">INDEX($D$4:$D$33,$E44)*INDEX($AK$4:$AK$33,F$41)*F6</f>
        <v>0</v>
      </c>
      <c r="G44" s="32" cm="1">
        <f t="array" ref="G44">INDEX($D$4:$D$33,$E44)*INDEX($AK$4:$AK$33,G$41)*G6</f>
        <v>0</v>
      </c>
      <c r="H44" s="32" cm="1">
        <f t="array" ref="H44">INDEX($D$4:$D$33,$E44)*INDEX($AK$4:$AK$33,H$41)*H6</f>
        <v>0</v>
      </c>
      <c r="I44" s="32" cm="1">
        <f t="array" ref="I44">INDEX($D$4:$D$33,$E44)*INDEX($AK$4:$AK$33,I$41)*I6</f>
        <v>0</v>
      </c>
      <c r="J44" s="32" cm="1">
        <f t="array" ref="J44">INDEX($D$4:$D$33,$E44)*INDEX($AK$4:$AK$33,J$41)*J6</f>
        <v>0</v>
      </c>
      <c r="K44" s="32" cm="1">
        <f t="array" ref="K44">INDEX($D$4:$D$33,$E44)*INDEX($AK$4:$AK$33,K$41)*K6</f>
        <v>0</v>
      </c>
      <c r="L44" s="32" cm="1">
        <f t="array" ref="L44">INDEX($D$4:$D$33,$E44)*INDEX($AK$4:$AK$33,L$41)*L6</f>
        <v>0</v>
      </c>
      <c r="M44" s="32" cm="1">
        <f t="array" ref="M44">INDEX($D$4:$D$33,$E44)*INDEX($AK$4:$AK$33,M$41)*M6</f>
        <v>0</v>
      </c>
      <c r="N44" s="32" cm="1">
        <f t="array" ref="N44">INDEX($D$4:$D$33,$E44)*INDEX($AK$4:$AK$33,N$41)*N6</f>
        <v>0</v>
      </c>
      <c r="O44" s="32" cm="1">
        <f t="array" ref="O44">INDEX($D$4:$D$33,$E44)*INDEX($AK$4:$AK$33,O$41)*O6</f>
        <v>0</v>
      </c>
      <c r="P44" s="32" cm="1">
        <f t="array" ref="P44">INDEX($D$4:$D$33,$E44)*INDEX($AK$4:$AK$33,P$41)*P6</f>
        <v>0</v>
      </c>
      <c r="Q44" s="32" cm="1">
        <f t="array" ref="Q44">INDEX($D$4:$D$33,$E44)*INDEX($AK$4:$AK$33,Q$41)*Q6</f>
        <v>0</v>
      </c>
      <c r="R44" s="32" cm="1">
        <f t="array" ref="R44">INDEX($D$4:$D$33,$E44)*INDEX($AK$4:$AK$33,R$41)*R6</f>
        <v>0</v>
      </c>
      <c r="S44" s="32" cm="1">
        <f t="array" ref="S44">INDEX($D$4:$D$33,$E44)*INDEX($AK$4:$AK$33,S$41)*S6</f>
        <v>0</v>
      </c>
      <c r="T44" s="32" cm="1">
        <f t="array" ref="T44">INDEX($D$4:$D$33,$E44)*INDEX($AK$4:$AK$33,T$41)*T6</f>
        <v>0</v>
      </c>
      <c r="U44" s="32" cm="1">
        <f t="array" ref="U44">INDEX($D$4:$D$33,$E44)*INDEX($AK$4:$AK$33,U$41)*U6</f>
        <v>0</v>
      </c>
      <c r="V44" s="32" cm="1">
        <f t="array" ref="V44">INDEX($D$4:$D$33,$E44)*INDEX($AK$4:$AK$33,V$41)*V6</f>
        <v>0</v>
      </c>
      <c r="W44" s="32" cm="1">
        <f t="array" ref="W44">INDEX($D$4:$D$33,$E44)*INDEX($AK$4:$AK$33,W$41)*W6</f>
        <v>0</v>
      </c>
      <c r="X44" s="32" cm="1">
        <f t="array" ref="X44">INDEX($D$4:$D$33,$E44)*INDEX($AK$4:$AK$33,X$41)*X6</f>
        <v>0</v>
      </c>
      <c r="Y44" s="32" cm="1">
        <f t="array" ref="Y44">INDEX($D$4:$D$33,$E44)*INDEX($AK$4:$AK$33,Y$41)*Y6</f>
        <v>0</v>
      </c>
      <c r="Z44" s="32" cm="1">
        <f t="array" ref="Z44">INDEX($D$4:$D$33,$E44)*INDEX($AK$4:$AK$33,Z$41)*Z6</f>
        <v>0</v>
      </c>
      <c r="AA44" s="32" cm="1">
        <f t="array" ref="AA44">INDEX($D$4:$D$33,$E44)*INDEX($AK$4:$AK$33,AA$41)*AA6</f>
        <v>0</v>
      </c>
      <c r="AB44" s="32" cm="1">
        <f t="array" ref="AB44">INDEX($D$4:$D$33,$E44)*INDEX($AK$4:$AK$33,AB$41)*AB6</f>
        <v>0</v>
      </c>
      <c r="AC44" s="32" cm="1">
        <f t="array" ref="AC44">INDEX($D$4:$D$33,$E44)*INDEX($AK$4:$AK$33,AC$41)*AC6</f>
        <v>0</v>
      </c>
      <c r="AD44" s="32" cm="1">
        <f t="array" ref="AD44">INDEX($D$4:$D$33,$E44)*INDEX($AK$4:$AK$33,AD$41)*AD6</f>
        <v>0</v>
      </c>
      <c r="AE44" s="32" cm="1">
        <f t="array" ref="AE44">INDEX($D$4:$D$33,$E44)*INDEX($AK$4:$AK$33,AE$41)*AE6</f>
        <v>0</v>
      </c>
      <c r="AF44" s="32" cm="1">
        <f t="array" ref="AF44">INDEX($D$4:$D$33,$E44)*INDEX($AK$4:$AK$33,AF$41)*AF6</f>
        <v>0</v>
      </c>
      <c r="AG44" s="32" cm="1">
        <f t="array" ref="AG44">INDEX($D$4:$D$33,$E44)*INDEX($AK$4:$AK$33,AG$41)*AG6</f>
        <v>0</v>
      </c>
      <c r="AH44" s="32" cm="1">
        <f t="array" ref="AH44">INDEX($D$4:$D$33,$E44)*INDEX($AK$4:$AK$33,AH$41)*AH6</f>
        <v>0</v>
      </c>
      <c r="AI44" s="32" cm="1">
        <f t="array" ref="AI44">INDEX($D$4:$D$33,$E44)*INDEX($AK$4:$AK$33,AI$41)*AI6</f>
        <v>0</v>
      </c>
      <c r="AS44">
        <v>2</v>
      </c>
      <c r="AT44" s="51">
        <v>0</v>
      </c>
      <c r="AU44" s="51">
        <v>1.08115838741512</v>
      </c>
      <c r="AV44" s="51">
        <v>0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0.25918582850410898</v>
      </c>
      <c r="BD44" s="51">
        <v>0.49519740805701301</v>
      </c>
      <c r="BE44" s="51">
        <v>0</v>
      </c>
      <c r="BF44" s="51">
        <v>0</v>
      </c>
      <c r="BG44" s="51">
        <v>0</v>
      </c>
      <c r="BH44" s="51">
        <v>0</v>
      </c>
      <c r="BI44" s="51">
        <v>0.49885356539550901</v>
      </c>
      <c r="BJ44" s="51">
        <v>0</v>
      </c>
      <c r="BK44" s="51">
        <v>0</v>
      </c>
      <c r="BL44" s="51">
        <v>0</v>
      </c>
      <c r="BM44" s="51">
        <v>0.25507458188556997</v>
      </c>
      <c r="BN44" s="51">
        <v>0</v>
      </c>
      <c r="BO44" s="51">
        <v>0</v>
      </c>
      <c r="BP44" s="51">
        <v>0</v>
      </c>
      <c r="BQ44" s="51">
        <v>0.24938781282116401</v>
      </c>
      <c r="BR44" s="51">
        <v>0</v>
      </c>
      <c r="BS44" s="51">
        <v>0</v>
      </c>
      <c r="BT44" s="51">
        <v>0</v>
      </c>
      <c r="BU44" s="51">
        <v>0</v>
      </c>
      <c r="BV44" s="51">
        <v>0.25232089352293302</v>
      </c>
      <c r="BW44" s="51">
        <v>0</v>
      </c>
    </row>
    <row r="45" spans="1:92" x14ac:dyDescent="0.25">
      <c r="E45" s="33">
        <v>4</v>
      </c>
      <c r="F45" s="32" cm="1">
        <f t="array" ref="F45">INDEX($D$4:$D$33,$E45)*INDEX($AK$4:$AK$33,F$41)*F7</f>
        <v>0</v>
      </c>
      <c r="G45" s="32" cm="1">
        <f t="array" ref="G45">INDEX($D$4:$D$33,$E45)*INDEX($AK$4:$AK$33,G$41)*G7</f>
        <v>0</v>
      </c>
      <c r="H45" s="32" cm="1">
        <f t="array" ref="H45">INDEX($D$4:$D$33,$E45)*INDEX($AK$4:$AK$33,H$41)*H7</f>
        <v>0</v>
      </c>
      <c r="I45" s="32" cm="1">
        <f t="array" ref="I45">INDEX($D$4:$D$33,$E45)*INDEX($AK$4:$AK$33,I$41)*I7</f>
        <v>0</v>
      </c>
      <c r="J45" s="32" cm="1">
        <f t="array" ref="J45">INDEX($D$4:$D$33,$E45)*INDEX($AK$4:$AK$33,J$41)*J7</f>
        <v>0</v>
      </c>
      <c r="K45" s="32" cm="1">
        <f t="array" ref="K45">INDEX($D$4:$D$33,$E45)*INDEX($AK$4:$AK$33,K$41)*K7</f>
        <v>0</v>
      </c>
      <c r="L45" s="32" cm="1">
        <f t="array" ref="L45">INDEX($D$4:$D$33,$E45)*INDEX($AK$4:$AK$33,L$41)*L7</f>
        <v>0</v>
      </c>
      <c r="M45" s="32" cm="1">
        <f t="array" ref="M45">INDEX($D$4:$D$33,$E45)*INDEX($AK$4:$AK$33,M$41)*M7</f>
        <v>0</v>
      </c>
      <c r="N45" s="32" cm="1">
        <f t="array" ref="N45">INDEX($D$4:$D$33,$E45)*INDEX($AK$4:$AK$33,N$41)*N7</f>
        <v>2.725545317036962E-4</v>
      </c>
      <c r="O45" s="32" cm="1">
        <f t="array" ref="O45">INDEX($D$4:$D$33,$E45)*INDEX($AK$4:$AK$33,O$41)*O7</f>
        <v>0</v>
      </c>
      <c r="P45" s="32" cm="1">
        <f t="array" ref="P45">INDEX($D$4:$D$33,$E45)*INDEX($AK$4:$AK$33,P$41)*P7</f>
        <v>3.1819804336262374E-3</v>
      </c>
      <c r="Q45" s="32" cm="1">
        <f t="array" ref="Q45">INDEX($D$4:$D$33,$E45)*INDEX($AK$4:$AK$33,Q$41)*Q7</f>
        <v>-2.0460520125742434E-4</v>
      </c>
      <c r="R45" s="32" cm="1">
        <f t="array" ref="R45">INDEX($D$4:$D$33,$E45)*INDEX($AK$4:$AK$33,R$41)*R7</f>
        <v>0</v>
      </c>
      <c r="S45" s="32" cm="1">
        <f t="array" ref="S45">INDEX($D$4:$D$33,$E45)*INDEX($AK$4:$AK$33,S$41)*S7</f>
        <v>0</v>
      </c>
      <c r="T45" s="32" cm="1">
        <f t="array" ref="T45">INDEX($D$4:$D$33,$E45)*INDEX($AK$4:$AK$33,T$41)*T7</f>
        <v>7.3228245823381776E-4</v>
      </c>
      <c r="U45" s="32" cm="1">
        <f t="array" ref="U45">INDEX($D$4:$D$33,$E45)*INDEX($AK$4:$AK$33,U$41)*U7</f>
        <v>0</v>
      </c>
      <c r="V45" s="32" cm="1">
        <f t="array" ref="V45">INDEX($D$4:$D$33,$E45)*INDEX($AK$4:$AK$33,V$41)*V7</f>
        <v>2.9531517526951224E-5</v>
      </c>
      <c r="W45" s="32" cm="1">
        <f t="array" ref="W45">INDEX($D$4:$D$33,$E45)*INDEX($AK$4:$AK$33,W$41)*W7</f>
        <v>0</v>
      </c>
      <c r="X45" s="32" cm="1">
        <f t="array" ref="X45">INDEX($D$4:$D$33,$E45)*INDEX($AK$4:$AK$33,X$41)*X7</f>
        <v>0</v>
      </c>
      <c r="Y45" s="32" cm="1">
        <f t="array" ref="Y45">INDEX($D$4:$D$33,$E45)*INDEX($AK$4:$AK$33,Y$41)*Y7</f>
        <v>0</v>
      </c>
      <c r="Z45" s="32" cm="1">
        <f t="array" ref="Z45">INDEX($D$4:$D$33,$E45)*INDEX($AK$4:$AK$33,Z$41)*Z7</f>
        <v>0</v>
      </c>
      <c r="AA45" s="32" cm="1">
        <f t="array" ref="AA45">INDEX($D$4:$D$33,$E45)*INDEX($AK$4:$AK$33,AA$41)*AA7</f>
        <v>0</v>
      </c>
      <c r="AB45" s="32" cm="1">
        <f t="array" ref="AB45">INDEX($D$4:$D$33,$E45)*INDEX($AK$4:$AK$33,AB$41)*AB7</f>
        <v>0</v>
      </c>
      <c r="AC45" s="32" cm="1">
        <f t="array" ref="AC45">INDEX($D$4:$D$33,$E45)*INDEX($AK$4:$AK$33,AC$41)*AC7</f>
        <v>2.6871883755089706E-4</v>
      </c>
      <c r="AD45" s="32" cm="1">
        <f t="array" ref="AD45">INDEX($D$4:$D$33,$E45)*INDEX($AK$4:$AK$33,AD$41)*AD7</f>
        <v>0</v>
      </c>
      <c r="AE45" s="32" cm="1">
        <f t="array" ref="AE45">INDEX($D$4:$D$33,$E45)*INDEX($AK$4:$AK$33,AE$41)*AE7</f>
        <v>0</v>
      </c>
      <c r="AF45" s="32" cm="1">
        <f t="array" ref="AF45">INDEX($D$4:$D$33,$E45)*INDEX($AK$4:$AK$33,AF$41)*AF7</f>
        <v>-2.1446593003560188E-5</v>
      </c>
      <c r="AG45" s="32" cm="1">
        <f t="array" ref="AG45">INDEX($D$4:$D$33,$E45)*INDEX($AK$4:$AK$33,AG$41)*AG7</f>
        <v>0</v>
      </c>
      <c r="AH45" s="32" cm="1">
        <f t="array" ref="AH45">INDEX($D$4:$D$33,$E45)*INDEX($AK$4:$AK$33,AH$41)*AH7</f>
        <v>-1.1371740978843871E-3</v>
      </c>
      <c r="AI45" s="32" cm="1">
        <f t="array" ref="AI45">INDEX($D$4:$D$33,$E45)*INDEX($AK$4:$AK$33,AI$41)*AI7</f>
        <v>-7.7276373610206763E-4</v>
      </c>
      <c r="AS45">
        <v>3</v>
      </c>
      <c r="AT45" s="51">
        <v>0</v>
      </c>
      <c r="AU45" s="51">
        <v>0</v>
      </c>
      <c r="AV45" s="51">
        <v>0.92539736325870103</v>
      </c>
      <c r="AW45" s="51">
        <v>0</v>
      </c>
      <c r="AX45" s="51">
        <v>0</v>
      </c>
      <c r="AY45" s="51">
        <v>0</v>
      </c>
      <c r="AZ45" s="51">
        <v>0.253101960079477</v>
      </c>
      <c r="BA45" s="51">
        <v>0</v>
      </c>
      <c r="BB45" s="51">
        <v>0</v>
      </c>
      <c r="BC45" s="51">
        <v>0</v>
      </c>
      <c r="BD45" s="51">
        <v>0.25502534118611297</v>
      </c>
      <c r="BE45" s="51">
        <v>0.25389657245951602</v>
      </c>
      <c r="BF45" s="51">
        <v>0</v>
      </c>
      <c r="BG45" s="51">
        <v>0</v>
      </c>
      <c r="BH45" s="51">
        <v>0.50076684870520105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0.49213305540361202</v>
      </c>
      <c r="BP45" s="51">
        <v>0</v>
      </c>
      <c r="BQ45" s="51">
        <v>0.240238041390025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</row>
    <row r="46" spans="1:92" x14ac:dyDescent="0.25">
      <c r="E46" s="33">
        <v>5</v>
      </c>
      <c r="F46" s="32" cm="1">
        <f t="array" ref="F46">INDEX($D$4:$D$33,$E46)*INDEX($AK$4:$AK$33,F$41)*F8</f>
        <v>0</v>
      </c>
      <c r="G46" s="32" cm="1">
        <f t="array" ref="G46">INDEX($D$4:$D$33,$E46)*INDEX($AK$4:$AK$33,G$41)*G8</f>
        <v>0</v>
      </c>
      <c r="H46" s="32" cm="1">
        <f t="array" ref="H46">INDEX($D$4:$D$33,$E46)*INDEX($AK$4:$AK$33,H$41)*H8</f>
        <v>0</v>
      </c>
      <c r="I46" s="32" cm="1">
        <f t="array" ref="I46">INDEX($D$4:$D$33,$E46)*INDEX($AK$4:$AK$33,I$41)*I8</f>
        <v>0</v>
      </c>
      <c r="J46" s="32" cm="1">
        <f t="array" ref="J46">INDEX($D$4:$D$33,$E46)*INDEX($AK$4:$AK$33,J$41)*J8</f>
        <v>0</v>
      </c>
      <c r="K46" s="32" cm="1">
        <f t="array" ref="K46">INDEX($D$4:$D$33,$E46)*INDEX($AK$4:$AK$33,K$41)*K8</f>
        <v>0</v>
      </c>
      <c r="L46" s="32" cm="1">
        <f t="array" ref="L46">INDEX($D$4:$D$33,$E46)*INDEX($AK$4:$AK$33,L$41)*L8</f>
        <v>0</v>
      </c>
      <c r="M46" s="32" cm="1">
        <f t="array" ref="M46">INDEX($D$4:$D$33,$E46)*INDEX($AK$4:$AK$33,M$41)*M8</f>
        <v>0</v>
      </c>
      <c r="N46" s="32" cm="1">
        <f t="array" ref="N46">INDEX($D$4:$D$33,$E46)*INDEX($AK$4:$AK$33,N$41)*N8</f>
        <v>0</v>
      </c>
      <c r="O46" s="32" cm="1">
        <f t="array" ref="O46">INDEX($D$4:$D$33,$E46)*INDEX($AK$4:$AK$33,O$41)*O8</f>
        <v>0</v>
      </c>
      <c r="P46" s="32" cm="1">
        <f t="array" ref="P46">INDEX($D$4:$D$33,$E46)*INDEX($AK$4:$AK$33,P$41)*P8</f>
        <v>0</v>
      </c>
      <c r="Q46" s="32" cm="1">
        <f t="array" ref="Q46">INDEX($D$4:$D$33,$E46)*INDEX($AK$4:$AK$33,Q$41)*Q8</f>
        <v>0</v>
      </c>
      <c r="R46" s="32" cm="1">
        <f t="array" ref="R46">INDEX($D$4:$D$33,$E46)*INDEX($AK$4:$AK$33,R$41)*R8</f>
        <v>0</v>
      </c>
      <c r="S46" s="32" cm="1">
        <f t="array" ref="S46">INDEX($D$4:$D$33,$E46)*INDEX($AK$4:$AK$33,S$41)*S8</f>
        <v>0</v>
      </c>
      <c r="T46" s="32" cm="1">
        <f t="array" ref="T46">INDEX($D$4:$D$33,$E46)*INDEX($AK$4:$AK$33,T$41)*T8</f>
        <v>0</v>
      </c>
      <c r="U46" s="32" cm="1">
        <f t="array" ref="U46">INDEX($D$4:$D$33,$E46)*INDEX($AK$4:$AK$33,U$41)*U8</f>
        <v>0</v>
      </c>
      <c r="V46" s="32" cm="1">
        <f t="array" ref="V46">INDEX($D$4:$D$33,$E46)*INDEX($AK$4:$AK$33,V$41)*V8</f>
        <v>0</v>
      </c>
      <c r="W46" s="32" cm="1">
        <f t="array" ref="W46">INDEX($D$4:$D$33,$E46)*INDEX($AK$4:$AK$33,W$41)*W8</f>
        <v>0</v>
      </c>
      <c r="X46" s="32" cm="1">
        <f t="array" ref="X46">INDEX($D$4:$D$33,$E46)*INDEX($AK$4:$AK$33,X$41)*X8</f>
        <v>0</v>
      </c>
      <c r="Y46" s="32" cm="1">
        <f t="array" ref="Y46">INDEX($D$4:$D$33,$E46)*INDEX($AK$4:$AK$33,Y$41)*Y8</f>
        <v>0</v>
      </c>
      <c r="Z46" s="32" cm="1">
        <f t="array" ref="Z46">INDEX($D$4:$D$33,$E46)*INDEX($AK$4:$AK$33,Z$41)*Z8</f>
        <v>0</v>
      </c>
      <c r="AA46" s="32" cm="1">
        <f t="array" ref="AA46">INDEX($D$4:$D$33,$E46)*INDEX($AK$4:$AK$33,AA$41)*AA8</f>
        <v>0</v>
      </c>
      <c r="AB46" s="32" cm="1">
        <f t="array" ref="AB46">INDEX($D$4:$D$33,$E46)*INDEX($AK$4:$AK$33,AB$41)*AB8</f>
        <v>0</v>
      </c>
      <c r="AC46" s="32" cm="1">
        <f t="array" ref="AC46">INDEX($D$4:$D$33,$E46)*INDEX($AK$4:$AK$33,AC$41)*AC8</f>
        <v>0</v>
      </c>
      <c r="AD46" s="32" cm="1">
        <f t="array" ref="AD46">INDEX($D$4:$D$33,$E46)*INDEX($AK$4:$AK$33,AD$41)*AD8</f>
        <v>0</v>
      </c>
      <c r="AE46" s="32" cm="1">
        <f t="array" ref="AE46">INDEX($D$4:$D$33,$E46)*INDEX($AK$4:$AK$33,AE$41)*AE8</f>
        <v>0</v>
      </c>
      <c r="AF46" s="32" cm="1">
        <f t="array" ref="AF46">INDEX($D$4:$D$33,$E46)*INDEX($AK$4:$AK$33,AF$41)*AF8</f>
        <v>0</v>
      </c>
      <c r="AG46" s="32" cm="1">
        <f t="array" ref="AG46">INDEX($D$4:$D$33,$E46)*INDEX($AK$4:$AK$33,AG$41)*AG8</f>
        <v>0</v>
      </c>
      <c r="AH46" s="32" cm="1">
        <f t="array" ref="AH46">INDEX($D$4:$D$33,$E46)*INDEX($AK$4:$AK$33,AH$41)*AH8</f>
        <v>0</v>
      </c>
      <c r="AI46" s="32" cm="1">
        <f t="array" ref="AI46">INDEX($D$4:$D$33,$E46)*INDEX($AK$4:$AK$33,AI$41)*AI8</f>
        <v>0</v>
      </c>
      <c r="AS46">
        <v>4</v>
      </c>
      <c r="AT46" s="51">
        <v>0.25858527246374502</v>
      </c>
      <c r="AU46" s="51">
        <v>0</v>
      </c>
      <c r="AV46" s="51">
        <v>0</v>
      </c>
      <c r="AW46" s="51">
        <v>1.0826751712278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0.24092342781262299</v>
      </c>
      <c r="BH46" s="51">
        <v>0</v>
      </c>
      <c r="BI46" s="51">
        <v>0.49304756037938402</v>
      </c>
      <c r="BJ46" s="51">
        <v>0</v>
      </c>
      <c r="BK46" s="51">
        <v>0</v>
      </c>
      <c r="BL46" s="51">
        <v>0</v>
      </c>
      <c r="BM46" s="51">
        <v>0.244476238789823</v>
      </c>
      <c r="BN46" s="51">
        <v>0</v>
      </c>
      <c r="BO46" s="51">
        <v>0.25868021368458399</v>
      </c>
      <c r="BP46" s="51">
        <v>0</v>
      </c>
      <c r="BQ46" s="51">
        <v>0.24373745209108799</v>
      </c>
      <c r="BR46" s="51">
        <v>0.25661657255792603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</row>
    <row r="47" spans="1:92" x14ac:dyDescent="0.25">
      <c r="E47" s="33">
        <v>6</v>
      </c>
      <c r="F47" s="32" cm="1">
        <f t="array" ref="F47">INDEX($D$4:$D$33,$E47)*INDEX($AK$4:$AK$33,F$41)*F9</f>
        <v>0</v>
      </c>
      <c r="G47" s="32" cm="1">
        <f t="array" ref="G47">INDEX($D$4:$D$33,$E47)*INDEX($AK$4:$AK$33,G$41)*G9</f>
        <v>0</v>
      </c>
      <c r="H47" s="32" cm="1">
        <f t="array" ref="H47">INDEX($D$4:$D$33,$E47)*INDEX($AK$4:$AK$33,H$41)*H9</f>
        <v>0</v>
      </c>
      <c r="I47" s="32" cm="1">
        <f t="array" ref="I47">INDEX($D$4:$D$33,$E47)*INDEX($AK$4:$AK$33,I$41)*I9</f>
        <v>0</v>
      </c>
      <c r="J47" s="32" cm="1">
        <f t="array" ref="J47">INDEX($D$4:$D$33,$E47)*INDEX($AK$4:$AK$33,J$41)*J9</f>
        <v>0</v>
      </c>
      <c r="K47" s="32" cm="1">
        <f t="array" ref="K47">INDEX($D$4:$D$33,$E47)*INDEX($AK$4:$AK$33,K$41)*K9</f>
        <v>0</v>
      </c>
      <c r="L47" s="32" cm="1">
        <f t="array" ref="L47">INDEX($D$4:$D$33,$E47)*INDEX($AK$4:$AK$33,L$41)*L9</f>
        <v>0</v>
      </c>
      <c r="M47" s="32" cm="1">
        <f t="array" ref="M47">INDEX($D$4:$D$33,$E47)*INDEX($AK$4:$AK$33,M$41)*M9</f>
        <v>0</v>
      </c>
      <c r="N47" s="32" cm="1">
        <f t="array" ref="N47">INDEX($D$4:$D$33,$E47)*INDEX($AK$4:$AK$33,N$41)*N9</f>
        <v>0</v>
      </c>
      <c r="O47" s="32" cm="1">
        <f t="array" ref="O47">INDEX($D$4:$D$33,$E47)*INDEX($AK$4:$AK$33,O$41)*O9</f>
        <v>0</v>
      </c>
      <c r="P47" s="32" cm="1">
        <f t="array" ref="P47">INDEX($D$4:$D$33,$E47)*INDEX($AK$4:$AK$33,P$41)*P9</f>
        <v>0</v>
      </c>
      <c r="Q47" s="32" cm="1">
        <f t="array" ref="Q47">INDEX($D$4:$D$33,$E47)*INDEX($AK$4:$AK$33,Q$41)*Q9</f>
        <v>0</v>
      </c>
      <c r="R47" s="32" cm="1">
        <f t="array" ref="R47">INDEX($D$4:$D$33,$E47)*INDEX($AK$4:$AK$33,R$41)*R9</f>
        <v>0</v>
      </c>
      <c r="S47" s="32" cm="1">
        <f t="array" ref="S47">INDEX($D$4:$D$33,$E47)*INDEX($AK$4:$AK$33,S$41)*S9</f>
        <v>0</v>
      </c>
      <c r="T47" s="32" cm="1">
        <f t="array" ref="T47">INDEX($D$4:$D$33,$E47)*INDEX($AK$4:$AK$33,T$41)*T9</f>
        <v>0</v>
      </c>
      <c r="U47" s="32" cm="1">
        <f t="array" ref="U47">INDEX($D$4:$D$33,$E47)*INDEX($AK$4:$AK$33,U$41)*U9</f>
        <v>0</v>
      </c>
      <c r="V47" s="32" cm="1">
        <f t="array" ref="V47">INDEX($D$4:$D$33,$E47)*INDEX($AK$4:$AK$33,V$41)*V9</f>
        <v>0</v>
      </c>
      <c r="W47" s="32" cm="1">
        <f t="array" ref="W47">INDEX($D$4:$D$33,$E47)*INDEX($AK$4:$AK$33,W$41)*W9</f>
        <v>0</v>
      </c>
      <c r="X47" s="32" cm="1">
        <f t="array" ref="X47">INDEX($D$4:$D$33,$E47)*INDEX($AK$4:$AK$33,X$41)*X9</f>
        <v>0</v>
      </c>
      <c r="Y47" s="32" cm="1">
        <f t="array" ref="Y47">INDEX($D$4:$D$33,$E47)*INDEX($AK$4:$AK$33,Y$41)*Y9</f>
        <v>0</v>
      </c>
      <c r="Z47" s="32" cm="1">
        <f t="array" ref="Z47">INDEX($D$4:$D$33,$E47)*INDEX($AK$4:$AK$33,Z$41)*Z9</f>
        <v>0</v>
      </c>
      <c r="AA47" s="32" cm="1">
        <f t="array" ref="AA47">INDEX($D$4:$D$33,$E47)*INDEX($AK$4:$AK$33,AA$41)*AA9</f>
        <v>0</v>
      </c>
      <c r="AB47" s="32" cm="1">
        <f t="array" ref="AB47">INDEX($D$4:$D$33,$E47)*INDEX($AK$4:$AK$33,AB$41)*AB9</f>
        <v>0</v>
      </c>
      <c r="AC47" s="32" cm="1">
        <f t="array" ref="AC47">INDEX($D$4:$D$33,$E47)*INDEX($AK$4:$AK$33,AC$41)*AC9</f>
        <v>0</v>
      </c>
      <c r="AD47" s="32" cm="1">
        <f t="array" ref="AD47">INDEX($D$4:$D$33,$E47)*INDEX($AK$4:$AK$33,AD$41)*AD9</f>
        <v>0</v>
      </c>
      <c r="AE47" s="32" cm="1">
        <f t="array" ref="AE47">INDEX($D$4:$D$33,$E47)*INDEX($AK$4:$AK$33,AE$41)*AE9</f>
        <v>0</v>
      </c>
      <c r="AF47" s="32" cm="1">
        <f t="array" ref="AF47">INDEX($D$4:$D$33,$E47)*INDEX($AK$4:$AK$33,AF$41)*AF9</f>
        <v>0</v>
      </c>
      <c r="AG47" s="32" cm="1">
        <f t="array" ref="AG47">INDEX($D$4:$D$33,$E47)*INDEX($AK$4:$AK$33,AG$41)*AG9</f>
        <v>0</v>
      </c>
      <c r="AH47" s="32" cm="1">
        <f t="array" ref="AH47">INDEX($D$4:$D$33,$E47)*INDEX($AK$4:$AK$33,AH$41)*AH9</f>
        <v>0</v>
      </c>
      <c r="AI47" s="32" cm="1">
        <f t="array" ref="AI47">INDEX($D$4:$D$33,$E47)*INDEX($AK$4:$AK$33,AI$41)*AI9</f>
        <v>0</v>
      </c>
      <c r="AS47">
        <v>5</v>
      </c>
      <c r="AT47" s="51">
        <v>0</v>
      </c>
      <c r="AU47" s="51">
        <v>0</v>
      </c>
      <c r="AV47" s="51">
        <v>0</v>
      </c>
      <c r="AW47" s="51">
        <v>0</v>
      </c>
      <c r="AX47" s="51">
        <v>1.0264718492450799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0.50600136960448605</v>
      </c>
      <c r="BK47" s="51">
        <v>0</v>
      </c>
      <c r="BL47" s="51">
        <v>0</v>
      </c>
      <c r="BM47" s="51">
        <v>0</v>
      </c>
      <c r="BN47" s="51">
        <v>0.498628276549271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</row>
    <row r="48" spans="1:92" x14ac:dyDescent="0.25">
      <c r="E48" s="33">
        <v>7</v>
      </c>
      <c r="F48" s="32" cm="1">
        <f t="array" ref="F48">INDEX($D$4:$D$33,$E48)*INDEX($AK$4:$AK$33,F$41)*F10</f>
        <v>0</v>
      </c>
      <c r="G48" s="32" cm="1">
        <f t="array" ref="G48">INDEX($D$4:$D$33,$E48)*INDEX($AK$4:$AK$33,G$41)*G10</f>
        <v>0</v>
      </c>
      <c r="H48" s="32" cm="1">
        <f t="array" ref="H48">INDEX($D$4:$D$33,$E48)*INDEX($AK$4:$AK$33,H$41)*H10</f>
        <v>0</v>
      </c>
      <c r="I48" s="32" cm="1">
        <f t="array" ref="I48">INDEX($D$4:$D$33,$E48)*INDEX($AK$4:$AK$33,I$41)*I10</f>
        <v>0</v>
      </c>
      <c r="J48" s="32" cm="1">
        <f t="array" ref="J48">INDEX($D$4:$D$33,$E48)*INDEX($AK$4:$AK$33,J$41)*J10</f>
        <v>0</v>
      </c>
      <c r="K48" s="32" cm="1">
        <f t="array" ref="K48">INDEX($D$4:$D$33,$E48)*INDEX($AK$4:$AK$33,K$41)*K10</f>
        <v>0</v>
      </c>
      <c r="L48" s="32" cm="1">
        <f t="array" ref="L48">INDEX($D$4:$D$33,$E48)*INDEX($AK$4:$AK$33,L$41)*L10</f>
        <v>0</v>
      </c>
      <c r="M48" s="32" cm="1">
        <f t="array" ref="M48">INDEX($D$4:$D$33,$E48)*INDEX($AK$4:$AK$33,M$41)*M10</f>
        <v>0</v>
      </c>
      <c r="N48" s="32" cm="1">
        <f t="array" ref="N48">INDEX($D$4:$D$33,$E48)*INDEX($AK$4:$AK$33,N$41)*N10</f>
        <v>7.31974878624609E-3</v>
      </c>
      <c r="O48" s="32" cm="1">
        <f t="array" ref="O48">INDEX($D$4:$D$33,$E48)*INDEX($AK$4:$AK$33,O$41)*O10</f>
        <v>0</v>
      </c>
      <c r="P48" s="32" cm="1">
        <f t="array" ref="P48">INDEX($D$4:$D$33,$E48)*INDEX($AK$4:$AK$33,P$41)*P10</f>
        <v>-8.9636532229825181E-3</v>
      </c>
      <c r="Q48" s="32" cm="1">
        <f t="array" ref="Q48">INDEX($D$4:$D$33,$E48)*INDEX($AK$4:$AK$33,Q$41)*Q10</f>
        <v>1.0636639815484664E-2</v>
      </c>
      <c r="R48" s="32" cm="1">
        <f t="array" ref="R48">INDEX($D$4:$D$33,$E48)*INDEX($AK$4:$AK$33,R$41)*R10</f>
        <v>0</v>
      </c>
      <c r="S48" s="32" cm="1">
        <f t="array" ref="S48">INDEX($D$4:$D$33,$E48)*INDEX($AK$4:$AK$33,S$41)*S10</f>
        <v>0</v>
      </c>
      <c r="T48" s="32" cm="1">
        <f t="array" ref="T48">INDEX($D$4:$D$33,$E48)*INDEX($AK$4:$AK$33,T$41)*T10</f>
        <v>5.6819889966164973E-2</v>
      </c>
      <c r="U48" s="32" cm="1">
        <f t="array" ref="U48">INDEX($D$4:$D$33,$E48)*INDEX($AK$4:$AK$33,U$41)*U10</f>
        <v>0</v>
      </c>
      <c r="V48" s="32" cm="1">
        <f t="array" ref="V48">INDEX($D$4:$D$33,$E48)*INDEX($AK$4:$AK$33,V$41)*V10</f>
        <v>4.7194724729233703E-3</v>
      </c>
      <c r="W48" s="32" cm="1">
        <f t="array" ref="W48">INDEX($D$4:$D$33,$E48)*INDEX($AK$4:$AK$33,W$41)*W10</f>
        <v>0</v>
      </c>
      <c r="X48" s="32" cm="1">
        <f t="array" ref="X48">INDEX($D$4:$D$33,$E48)*INDEX($AK$4:$AK$33,X$41)*X10</f>
        <v>0</v>
      </c>
      <c r="Y48" s="32" cm="1">
        <f t="array" ref="Y48">INDEX($D$4:$D$33,$E48)*INDEX($AK$4:$AK$33,Y$41)*Y10</f>
        <v>0</v>
      </c>
      <c r="Z48" s="32" cm="1">
        <f t="array" ref="Z48">INDEX($D$4:$D$33,$E48)*INDEX($AK$4:$AK$33,Z$41)*Z10</f>
        <v>0</v>
      </c>
      <c r="AA48" s="32" cm="1">
        <f t="array" ref="AA48">INDEX($D$4:$D$33,$E48)*INDEX($AK$4:$AK$33,AA$41)*AA10</f>
        <v>0</v>
      </c>
      <c r="AB48" s="32" cm="1">
        <f t="array" ref="AB48">INDEX($D$4:$D$33,$E48)*INDEX($AK$4:$AK$33,AB$41)*AB10</f>
        <v>0</v>
      </c>
      <c r="AC48" s="32" cm="1">
        <f t="array" ref="AC48">INDEX($D$4:$D$33,$E48)*INDEX($AK$4:$AK$33,AC$41)*AC10</f>
        <v>-1.8882732336013178E-3</v>
      </c>
      <c r="AD48" s="32" cm="1">
        <f t="array" ref="AD48">INDEX($D$4:$D$33,$E48)*INDEX($AK$4:$AK$33,AD$41)*AD10</f>
        <v>0</v>
      </c>
      <c r="AE48" s="32" cm="1">
        <f t="array" ref="AE48">INDEX($D$4:$D$33,$E48)*INDEX($AK$4:$AK$33,AE$41)*AE10</f>
        <v>0</v>
      </c>
      <c r="AF48" s="32" cm="1">
        <f t="array" ref="AF48">INDEX($D$4:$D$33,$E48)*INDEX($AK$4:$AK$33,AF$41)*AF10</f>
        <v>-6.6933248998411144E-3</v>
      </c>
      <c r="AG48" s="32" cm="1">
        <f t="array" ref="AG48">INDEX($D$4:$D$33,$E48)*INDEX($AK$4:$AK$33,AG$41)*AG10</f>
        <v>0</v>
      </c>
      <c r="AH48" s="32" cm="1">
        <f t="array" ref="AH48">INDEX($D$4:$D$33,$E48)*INDEX($AK$4:$AK$33,AH$41)*AH10</f>
        <v>4.2787620802631987E-2</v>
      </c>
      <c r="AI48" s="32" cm="1">
        <f t="array" ref="AI48">INDEX($D$4:$D$33,$E48)*INDEX($AK$4:$AK$33,AI$41)*AI10</f>
        <v>3.5735171857392042E-2</v>
      </c>
      <c r="AS48">
        <v>6</v>
      </c>
      <c r="AT48" s="51">
        <v>0</v>
      </c>
      <c r="AU48" s="51">
        <v>0</v>
      </c>
      <c r="AV48" s="51">
        <v>0</v>
      </c>
      <c r="AW48" s="51">
        <v>0</v>
      </c>
      <c r="AX48" s="51">
        <v>0</v>
      </c>
      <c r="AY48" s="51">
        <v>0.91950808099988202</v>
      </c>
      <c r="AZ48" s="51">
        <v>0</v>
      </c>
      <c r="BA48" s="51">
        <v>0</v>
      </c>
      <c r="BB48" s="51">
        <v>0</v>
      </c>
      <c r="BC48" s="51">
        <v>0</v>
      </c>
      <c r="BD48" s="51">
        <v>0</v>
      </c>
      <c r="BE48" s="51">
        <v>0</v>
      </c>
      <c r="BF48" s="51">
        <v>0</v>
      </c>
      <c r="BG48" s="51">
        <v>0.25514400458221398</v>
      </c>
      <c r="BH48" s="51">
        <v>0</v>
      </c>
      <c r="BI48" s="51">
        <v>0.245085643579431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0.49799565298197801</v>
      </c>
      <c r="BP48" s="51">
        <v>0</v>
      </c>
      <c r="BQ48" s="51">
        <v>0</v>
      </c>
      <c r="BR48" s="51">
        <v>0.240688921610058</v>
      </c>
      <c r="BS48" s="51">
        <v>0</v>
      </c>
      <c r="BT48" s="51">
        <v>0.249465776978055</v>
      </c>
      <c r="BU48" s="51">
        <v>0</v>
      </c>
      <c r="BV48" s="51">
        <v>0</v>
      </c>
      <c r="BW48" s="51">
        <v>0</v>
      </c>
    </row>
    <row r="49" spans="5:75" x14ac:dyDescent="0.25">
      <c r="E49" s="33">
        <v>8</v>
      </c>
      <c r="F49" s="32" cm="1">
        <f t="array" ref="F49">INDEX($D$4:$D$33,$E49)*INDEX($AK$4:$AK$33,F$41)*F11</f>
        <v>0</v>
      </c>
      <c r="G49" s="32" cm="1">
        <f t="array" ref="G49">INDEX($D$4:$D$33,$E49)*INDEX($AK$4:$AK$33,G$41)*G11</f>
        <v>0</v>
      </c>
      <c r="H49" s="32" cm="1">
        <f t="array" ref="H49">INDEX($D$4:$D$33,$E49)*INDEX($AK$4:$AK$33,H$41)*H11</f>
        <v>0</v>
      </c>
      <c r="I49" s="32" cm="1">
        <f t="array" ref="I49">INDEX($D$4:$D$33,$E49)*INDEX($AK$4:$AK$33,I$41)*I11</f>
        <v>0</v>
      </c>
      <c r="J49" s="32" cm="1">
        <f t="array" ref="J49">INDEX($D$4:$D$33,$E49)*INDEX($AK$4:$AK$33,J$41)*J11</f>
        <v>0</v>
      </c>
      <c r="K49" s="32" cm="1">
        <f t="array" ref="K49">INDEX($D$4:$D$33,$E49)*INDEX($AK$4:$AK$33,K$41)*K11</f>
        <v>0</v>
      </c>
      <c r="L49" s="32" cm="1">
        <f t="array" ref="L49">INDEX($D$4:$D$33,$E49)*INDEX($AK$4:$AK$33,L$41)*L11</f>
        <v>0</v>
      </c>
      <c r="M49" s="32" cm="1">
        <f t="array" ref="M49">INDEX($D$4:$D$33,$E49)*INDEX($AK$4:$AK$33,M$41)*M11</f>
        <v>0</v>
      </c>
      <c r="N49" s="32" cm="1">
        <f t="array" ref="N49">INDEX($D$4:$D$33,$E49)*INDEX($AK$4:$AK$33,N$41)*N11</f>
        <v>0</v>
      </c>
      <c r="O49" s="32" cm="1">
        <f t="array" ref="O49">INDEX($D$4:$D$33,$E49)*INDEX($AK$4:$AK$33,O$41)*O11</f>
        <v>0</v>
      </c>
      <c r="P49" s="32" cm="1">
        <f t="array" ref="P49">INDEX($D$4:$D$33,$E49)*INDEX($AK$4:$AK$33,P$41)*P11</f>
        <v>0</v>
      </c>
      <c r="Q49" s="32" cm="1">
        <f t="array" ref="Q49">INDEX($D$4:$D$33,$E49)*INDEX($AK$4:$AK$33,Q$41)*Q11</f>
        <v>0</v>
      </c>
      <c r="R49" s="32" cm="1">
        <f t="array" ref="R49">INDEX($D$4:$D$33,$E49)*INDEX($AK$4:$AK$33,R$41)*R11</f>
        <v>0</v>
      </c>
      <c r="S49" s="32" cm="1">
        <f t="array" ref="S49">INDEX($D$4:$D$33,$E49)*INDEX($AK$4:$AK$33,S$41)*S11</f>
        <v>0</v>
      </c>
      <c r="T49" s="32" cm="1">
        <f t="array" ref="T49">INDEX($D$4:$D$33,$E49)*INDEX($AK$4:$AK$33,T$41)*T11</f>
        <v>0</v>
      </c>
      <c r="U49" s="32" cm="1">
        <f t="array" ref="U49">INDEX($D$4:$D$33,$E49)*INDEX($AK$4:$AK$33,U$41)*U11</f>
        <v>0</v>
      </c>
      <c r="V49" s="32" cm="1">
        <f t="array" ref="V49">INDEX($D$4:$D$33,$E49)*INDEX($AK$4:$AK$33,V$41)*V11</f>
        <v>0</v>
      </c>
      <c r="W49" s="32" cm="1">
        <f t="array" ref="W49">INDEX($D$4:$D$33,$E49)*INDEX($AK$4:$AK$33,W$41)*W11</f>
        <v>0</v>
      </c>
      <c r="X49" s="32" cm="1">
        <f t="array" ref="X49">INDEX($D$4:$D$33,$E49)*INDEX($AK$4:$AK$33,X$41)*X11</f>
        <v>0</v>
      </c>
      <c r="Y49" s="32" cm="1">
        <f t="array" ref="Y49">INDEX($D$4:$D$33,$E49)*INDEX($AK$4:$AK$33,Y$41)*Y11</f>
        <v>0</v>
      </c>
      <c r="Z49" s="32" cm="1">
        <f t="array" ref="Z49">INDEX($D$4:$D$33,$E49)*INDEX($AK$4:$AK$33,Z$41)*Z11</f>
        <v>0</v>
      </c>
      <c r="AA49" s="32" cm="1">
        <f t="array" ref="AA49">INDEX($D$4:$D$33,$E49)*INDEX($AK$4:$AK$33,AA$41)*AA11</f>
        <v>0</v>
      </c>
      <c r="AB49" s="32" cm="1">
        <f t="array" ref="AB49">INDEX($D$4:$D$33,$E49)*INDEX($AK$4:$AK$33,AB$41)*AB11</f>
        <v>0</v>
      </c>
      <c r="AC49" s="32" cm="1">
        <f t="array" ref="AC49">INDEX($D$4:$D$33,$E49)*INDEX($AK$4:$AK$33,AC$41)*AC11</f>
        <v>0</v>
      </c>
      <c r="AD49" s="32" cm="1">
        <f t="array" ref="AD49">INDEX($D$4:$D$33,$E49)*INDEX($AK$4:$AK$33,AD$41)*AD11</f>
        <v>0</v>
      </c>
      <c r="AE49" s="32" cm="1">
        <f t="array" ref="AE49">INDEX($D$4:$D$33,$E49)*INDEX($AK$4:$AK$33,AE$41)*AE11</f>
        <v>0</v>
      </c>
      <c r="AF49" s="32" cm="1">
        <f t="array" ref="AF49">INDEX($D$4:$D$33,$E49)*INDEX($AK$4:$AK$33,AF$41)*AF11</f>
        <v>0</v>
      </c>
      <c r="AG49" s="32" cm="1">
        <f t="array" ref="AG49">INDEX($D$4:$D$33,$E49)*INDEX($AK$4:$AK$33,AG$41)*AG11</f>
        <v>0</v>
      </c>
      <c r="AH49" s="32" cm="1">
        <f t="array" ref="AH49">INDEX($D$4:$D$33,$E49)*INDEX($AK$4:$AK$33,AH$41)*AH11</f>
        <v>0</v>
      </c>
      <c r="AI49" s="32" cm="1">
        <f t="array" ref="AI49">INDEX($D$4:$D$33,$E49)*INDEX($AK$4:$AK$33,AI$41)*AI11</f>
        <v>0</v>
      </c>
      <c r="AS49">
        <v>7</v>
      </c>
      <c r="AT49" s="51">
        <v>0.24699967531969599</v>
      </c>
      <c r="AU49" s="51">
        <v>0</v>
      </c>
      <c r="AV49" s="51">
        <v>0.253101960079477</v>
      </c>
      <c r="AW49" s="51">
        <v>0</v>
      </c>
      <c r="AX49" s="51">
        <v>0</v>
      </c>
      <c r="AY49" s="51">
        <v>0</v>
      </c>
      <c r="AZ49" s="51">
        <v>0.95569964377340999</v>
      </c>
      <c r="BA49" s="51">
        <v>0.24891172401421799</v>
      </c>
      <c r="BB49" s="51">
        <v>0</v>
      </c>
      <c r="BC49" s="51">
        <v>0</v>
      </c>
      <c r="BD49" s="51">
        <v>0</v>
      </c>
      <c r="BE49" s="51">
        <v>0.24877488719312801</v>
      </c>
      <c r="BF49" s="51">
        <v>0</v>
      </c>
      <c r="BG49" s="51">
        <v>0.25509373363964699</v>
      </c>
      <c r="BH49" s="51">
        <v>0</v>
      </c>
      <c r="BI49" s="51">
        <v>0</v>
      </c>
      <c r="BJ49" s="51">
        <v>0</v>
      </c>
      <c r="BK49" s="51">
        <v>0.25170528182305402</v>
      </c>
      <c r="BL49" s="51">
        <v>0.24680771453332301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0.50378429006280001</v>
      </c>
      <c r="BS49" s="51">
        <v>0</v>
      </c>
      <c r="BT49" s="51">
        <v>0</v>
      </c>
      <c r="BU49" s="51">
        <v>0.24571678037640701</v>
      </c>
      <c r="BV49" s="51">
        <v>0</v>
      </c>
      <c r="BW49" s="51">
        <v>0</v>
      </c>
    </row>
    <row r="50" spans="5:75" x14ac:dyDescent="0.25">
      <c r="E50" s="33">
        <v>9</v>
      </c>
      <c r="F50" s="32" cm="1">
        <f t="array" ref="F50">INDEX($D$4:$D$33,$E50)*INDEX($AK$4:$AK$33,F$41)*F12</f>
        <v>0</v>
      </c>
      <c r="G50" s="32" cm="1">
        <f t="array" ref="G50">INDEX($D$4:$D$33,$E50)*INDEX($AK$4:$AK$33,G$41)*G12</f>
        <v>0</v>
      </c>
      <c r="H50" s="32" cm="1">
        <f t="array" ref="H50">INDEX($D$4:$D$33,$E50)*INDEX($AK$4:$AK$33,H$41)*H12</f>
        <v>0</v>
      </c>
      <c r="I50" s="32" cm="1">
        <f t="array" ref="I50">INDEX($D$4:$D$33,$E50)*INDEX($AK$4:$AK$33,I$41)*I12</f>
        <v>0</v>
      </c>
      <c r="J50" s="32" cm="1">
        <f t="array" ref="J50">INDEX($D$4:$D$33,$E50)*INDEX($AK$4:$AK$33,J$41)*J12</f>
        <v>0</v>
      </c>
      <c r="K50" s="32" cm="1">
        <f t="array" ref="K50">INDEX($D$4:$D$33,$E50)*INDEX($AK$4:$AK$33,K$41)*K12</f>
        <v>0</v>
      </c>
      <c r="L50" s="32" cm="1">
        <f t="array" ref="L50">INDEX($D$4:$D$33,$E50)*INDEX($AK$4:$AK$33,L$41)*L12</f>
        <v>0</v>
      </c>
      <c r="M50" s="32" cm="1">
        <f t="array" ref="M50">INDEX($D$4:$D$33,$E50)*INDEX($AK$4:$AK$33,M$41)*M12</f>
        <v>0</v>
      </c>
      <c r="N50" s="32" cm="1">
        <f t="array" ref="N50">INDEX($D$4:$D$33,$E50)*INDEX($AK$4:$AK$33,N$41)*N12</f>
        <v>0</v>
      </c>
      <c r="O50" s="32" cm="1">
        <f t="array" ref="O50">INDEX($D$4:$D$33,$E50)*INDEX($AK$4:$AK$33,O$41)*O12</f>
        <v>0</v>
      </c>
      <c r="P50" s="32" cm="1">
        <f t="array" ref="P50">INDEX($D$4:$D$33,$E50)*INDEX($AK$4:$AK$33,P$41)*P12</f>
        <v>0</v>
      </c>
      <c r="Q50" s="32" cm="1">
        <f t="array" ref="Q50">INDEX($D$4:$D$33,$E50)*INDEX($AK$4:$AK$33,Q$41)*Q12</f>
        <v>0</v>
      </c>
      <c r="R50" s="32" cm="1">
        <f t="array" ref="R50">INDEX($D$4:$D$33,$E50)*INDEX($AK$4:$AK$33,R$41)*R12</f>
        <v>0</v>
      </c>
      <c r="S50" s="32" cm="1">
        <f t="array" ref="S50">INDEX($D$4:$D$33,$E50)*INDEX($AK$4:$AK$33,S$41)*S12</f>
        <v>0</v>
      </c>
      <c r="T50" s="32" cm="1">
        <f t="array" ref="T50">INDEX($D$4:$D$33,$E50)*INDEX($AK$4:$AK$33,T$41)*T12</f>
        <v>0</v>
      </c>
      <c r="U50" s="32" cm="1">
        <f t="array" ref="U50">INDEX($D$4:$D$33,$E50)*INDEX($AK$4:$AK$33,U$41)*U12</f>
        <v>0</v>
      </c>
      <c r="V50" s="32" cm="1">
        <f t="array" ref="V50">INDEX($D$4:$D$33,$E50)*INDEX($AK$4:$AK$33,V$41)*V12</f>
        <v>0</v>
      </c>
      <c r="W50" s="32" cm="1">
        <f t="array" ref="W50">INDEX($D$4:$D$33,$E50)*INDEX($AK$4:$AK$33,W$41)*W12</f>
        <v>0</v>
      </c>
      <c r="X50" s="32" cm="1">
        <f t="array" ref="X50">INDEX($D$4:$D$33,$E50)*INDEX($AK$4:$AK$33,X$41)*X12</f>
        <v>0</v>
      </c>
      <c r="Y50" s="32" cm="1">
        <f t="array" ref="Y50">INDEX($D$4:$D$33,$E50)*INDEX($AK$4:$AK$33,Y$41)*Y12</f>
        <v>0</v>
      </c>
      <c r="Z50" s="32" cm="1">
        <f t="array" ref="Z50">INDEX($D$4:$D$33,$E50)*INDEX($AK$4:$AK$33,Z$41)*Z12</f>
        <v>0</v>
      </c>
      <c r="AA50" s="32" cm="1">
        <f t="array" ref="AA50">INDEX($D$4:$D$33,$E50)*INDEX($AK$4:$AK$33,AA$41)*AA12</f>
        <v>0</v>
      </c>
      <c r="AB50" s="32" cm="1">
        <f t="array" ref="AB50">INDEX($D$4:$D$33,$E50)*INDEX($AK$4:$AK$33,AB$41)*AB12</f>
        <v>0</v>
      </c>
      <c r="AC50" s="32" cm="1">
        <f t="array" ref="AC50">INDEX($D$4:$D$33,$E50)*INDEX($AK$4:$AK$33,AC$41)*AC12</f>
        <v>0</v>
      </c>
      <c r="AD50" s="32" cm="1">
        <f t="array" ref="AD50">INDEX($D$4:$D$33,$E50)*INDEX($AK$4:$AK$33,AD$41)*AD12</f>
        <v>0</v>
      </c>
      <c r="AE50" s="32" cm="1">
        <f t="array" ref="AE50">INDEX($D$4:$D$33,$E50)*INDEX($AK$4:$AK$33,AE$41)*AE12</f>
        <v>0</v>
      </c>
      <c r="AF50" s="32" cm="1">
        <f t="array" ref="AF50">INDEX($D$4:$D$33,$E50)*INDEX($AK$4:$AK$33,AF$41)*AF12</f>
        <v>0</v>
      </c>
      <c r="AG50" s="32" cm="1">
        <f t="array" ref="AG50">INDEX($D$4:$D$33,$E50)*INDEX($AK$4:$AK$33,AG$41)*AG12</f>
        <v>0</v>
      </c>
      <c r="AH50" s="32" cm="1">
        <f t="array" ref="AH50">INDEX($D$4:$D$33,$E50)*INDEX($AK$4:$AK$33,AH$41)*AH12</f>
        <v>0</v>
      </c>
      <c r="AI50" s="32" cm="1">
        <f t="array" ref="AI50">INDEX($D$4:$D$33,$E50)*INDEX($AK$4:$AK$33,AI$41)*AI12</f>
        <v>0</v>
      </c>
      <c r="AS50">
        <v>8</v>
      </c>
      <c r="AT50" s="51">
        <v>0.25681434511967299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0.24891172401421799</v>
      </c>
      <c r="BA50" s="51">
        <v>1.009376303841</v>
      </c>
      <c r="BB50" s="51">
        <v>0</v>
      </c>
      <c r="BC50" s="51">
        <v>0</v>
      </c>
      <c r="BD50" s="51">
        <v>0</v>
      </c>
      <c r="BE50" s="51">
        <v>0.25646915656654601</v>
      </c>
      <c r="BF50" s="51">
        <v>0</v>
      </c>
      <c r="BG50" s="51">
        <v>0.50634606441306895</v>
      </c>
      <c r="BH50" s="51">
        <v>0.49167642755993901</v>
      </c>
      <c r="BI50" s="51">
        <v>0</v>
      </c>
      <c r="BJ50" s="51">
        <v>0</v>
      </c>
      <c r="BK50" s="51">
        <v>0</v>
      </c>
      <c r="BL50" s="51">
        <v>0</v>
      </c>
      <c r="BM50" s="51">
        <v>0.246224300840896</v>
      </c>
      <c r="BN50" s="51">
        <v>0.25359405353707398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0.245021677159521</v>
      </c>
      <c r="BU50" s="51">
        <v>0</v>
      </c>
      <c r="BV50" s="51">
        <v>0</v>
      </c>
      <c r="BW50" s="51">
        <v>0</v>
      </c>
    </row>
    <row r="51" spans="5:75" x14ac:dyDescent="0.25">
      <c r="E51" s="33">
        <v>10</v>
      </c>
      <c r="F51" s="32" cm="1">
        <f t="array" ref="F51">INDEX($D$4:$D$33,$E51)*INDEX($AK$4:$AK$33,F$41)*F13</f>
        <v>0</v>
      </c>
      <c r="G51" s="32" cm="1">
        <f t="array" ref="G51">INDEX($D$4:$D$33,$E51)*INDEX($AK$4:$AK$33,G$41)*G13</f>
        <v>0</v>
      </c>
      <c r="H51" s="32" cm="1">
        <f t="array" ref="H51">INDEX($D$4:$D$33,$E51)*INDEX($AK$4:$AK$33,H$41)*H13</f>
        <v>0</v>
      </c>
      <c r="I51" s="32" cm="1">
        <f t="array" ref="I51">INDEX($D$4:$D$33,$E51)*INDEX($AK$4:$AK$33,I$41)*I13</f>
        <v>0</v>
      </c>
      <c r="J51" s="32" cm="1">
        <f t="array" ref="J51">INDEX($D$4:$D$33,$E51)*INDEX($AK$4:$AK$33,J$41)*J13</f>
        <v>0</v>
      </c>
      <c r="K51" s="32" cm="1">
        <f t="array" ref="K51">INDEX($D$4:$D$33,$E51)*INDEX($AK$4:$AK$33,K$41)*K13</f>
        <v>0</v>
      </c>
      <c r="L51" s="32" cm="1">
        <f t="array" ref="L51">INDEX($D$4:$D$33,$E51)*INDEX($AK$4:$AK$33,L$41)*L13</f>
        <v>0</v>
      </c>
      <c r="M51" s="32" cm="1">
        <f t="array" ref="M51">INDEX($D$4:$D$33,$E51)*INDEX($AK$4:$AK$33,M$41)*M13</f>
        <v>0</v>
      </c>
      <c r="N51" s="32" cm="1">
        <f t="array" ref="N51">INDEX($D$4:$D$33,$E51)*INDEX($AK$4:$AK$33,N$41)*N13</f>
        <v>0</v>
      </c>
      <c r="O51" s="32" cm="1">
        <f t="array" ref="O51">INDEX($D$4:$D$33,$E51)*INDEX($AK$4:$AK$33,O$41)*O13</f>
        <v>0</v>
      </c>
      <c r="P51" s="32" cm="1">
        <f t="array" ref="P51">INDEX($D$4:$D$33,$E51)*INDEX($AK$4:$AK$33,P$41)*P13</f>
        <v>0</v>
      </c>
      <c r="Q51" s="32" cm="1">
        <f t="array" ref="Q51">INDEX($D$4:$D$33,$E51)*INDEX($AK$4:$AK$33,Q$41)*Q13</f>
        <v>0</v>
      </c>
      <c r="R51" s="32" cm="1">
        <f t="array" ref="R51">INDEX($D$4:$D$33,$E51)*INDEX($AK$4:$AK$33,R$41)*R13</f>
        <v>0</v>
      </c>
      <c r="S51" s="32" cm="1">
        <f t="array" ref="S51">INDEX($D$4:$D$33,$E51)*INDEX($AK$4:$AK$33,S$41)*S13</f>
        <v>0</v>
      </c>
      <c r="T51" s="32" cm="1">
        <f t="array" ref="T51">INDEX($D$4:$D$33,$E51)*INDEX($AK$4:$AK$33,T$41)*T13</f>
        <v>0</v>
      </c>
      <c r="U51" s="32" cm="1">
        <f t="array" ref="U51">INDEX($D$4:$D$33,$E51)*INDEX($AK$4:$AK$33,U$41)*U13</f>
        <v>0</v>
      </c>
      <c r="V51" s="32" cm="1">
        <f t="array" ref="V51">INDEX($D$4:$D$33,$E51)*INDEX($AK$4:$AK$33,V$41)*V13</f>
        <v>0</v>
      </c>
      <c r="W51" s="32" cm="1">
        <f t="array" ref="W51">INDEX($D$4:$D$33,$E51)*INDEX($AK$4:$AK$33,W$41)*W13</f>
        <v>0</v>
      </c>
      <c r="X51" s="32" cm="1">
        <f t="array" ref="X51">INDEX($D$4:$D$33,$E51)*INDEX($AK$4:$AK$33,X$41)*X13</f>
        <v>0</v>
      </c>
      <c r="Y51" s="32" cm="1">
        <f t="array" ref="Y51">INDEX($D$4:$D$33,$E51)*INDEX($AK$4:$AK$33,Y$41)*Y13</f>
        <v>0</v>
      </c>
      <c r="Z51" s="32" cm="1">
        <f t="array" ref="Z51">INDEX($D$4:$D$33,$E51)*INDEX($AK$4:$AK$33,Z$41)*Z13</f>
        <v>0</v>
      </c>
      <c r="AA51" s="32" cm="1">
        <f t="array" ref="AA51">INDEX($D$4:$D$33,$E51)*INDEX($AK$4:$AK$33,AA$41)*AA13</f>
        <v>0</v>
      </c>
      <c r="AB51" s="32" cm="1">
        <f t="array" ref="AB51">INDEX($D$4:$D$33,$E51)*INDEX($AK$4:$AK$33,AB$41)*AB13</f>
        <v>0</v>
      </c>
      <c r="AC51" s="32" cm="1">
        <f t="array" ref="AC51">INDEX($D$4:$D$33,$E51)*INDEX($AK$4:$AK$33,AC$41)*AC13</f>
        <v>0</v>
      </c>
      <c r="AD51" s="32" cm="1">
        <f t="array" ref="AD51">INDEX($D$4:$D$33,$E51)*INDEX($AK$4:$AK$33,AD$41)*AD13</f>
        <v>0</v>
      </c>
      <c r="AE51" s="32" cm="1">
        <f t="array" ref="AE51">INDEX($D$4:$D$33,$E51)*INDEX($AK$4:$AK$33,AE$41)*AE13</f>
        <v>0</v>
      </c>
      <c r="AF51" s="32" cm="1">
        <f t="array" ref="AF51">INDEX($D$4:$D$33,$E51)*INDEX($AK$4:$AK$33,AF$41)*AF13</f>
        <v>0</v>
      </c>
      <c r="AG51" s="32" cm="1">
        <f t="array" ref="AG51">INDEX($D$4:$D$33,$E51)*INDEX($AK$4:$AK$33,AG$41)*AG13</f>
        <v>0</v>
      </c>
      <c r="AH51" s="32" cm="1">
        <f t="array" ref="AH51">INDEX($D$4:$D$33,$E51)*INDEX($AK$4:$AK$33,AH$41)*AH13</f>
        <v>0</v>
      </c>
      <c r="AI51" s="32" cm="1">
        <f t="array" ref="AI51">INDEX($D$4:$D$33,$E51)*INDEX($AK$4:$AK$33,AI$41)*AI13</f>
        <v>0</v>
      </c>
      <c r="AS51">
        <v>9</v>
      </c>
      <c r="AT51" s="51">
        <v>0.24151708579126099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1.0915013670868601</v>
      </c>
      <c r="BC51" s="51">
        <v>0</v>
      </c>
      <c r="BD51" s="51">
        <v>0.254187296617161</v>
      </c>
      <c r="BE51" s="51">
        <v>0</v>
      </c>
      <c r="BF51" s="51">
        <v>0.24393190500862399</v>
      </c>
      <c r="BG51" s="51">
        <v>0</v>
      </c>
      <c r="BH51" s="51">
        <v>0</v>
      </c>
      <c r="BI51" s="51">
        <v>0.25292626020222497</v>
      </c>
      <c r="BJ51" s="51">
        <v>0</v>
      </c>
      <c r="BK51" s="51">
        <v>0.49457953937433602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0.25099447216582299</v>
      </c>
      <c r="BW51" s="51">
        <v>0.25057066271012401</v>
      </c>
    </row>
    <row r="52" spans="5:75" x14ac:dyDescent="0.25">
      <c r="E52" s="33">
        <v>11</v>
      </c>
      <c r="F52" s="32" cm="1">
        <f t="array" ref="F52">INDEX($D$4:$D$33,$E52)*INDEX($AK$4:$AK$33,F$41)*F14</f>
        <v>0</v>
      </c>
      <c r="G52" s="32" cm="1">
        <f t="array" ref="G52">INDEX($D$4:$D$33,$E52)*INDEX($AK$4:$AK$33,G$41)*G14</f>
        <v>0</v>
      </c>
      <c r="H52" s="32" cm="1">
        <f t="array" ref="H52">INDEX($D$4:$D$33,$E52)*INDEX($AK$4:$AK$33,H$41)*H14</f>
        <v>0</v>
      </c>
      <c r="I52" s="32" cm="1">
        <f t="array" ref="I52">INDEX($D$4:$D$33,$E52)*INDEX($AK$4:$AK$33,I$41)*I14</f>
        <v>0</v>
      </c>
      <c r="J52" s="32" cm="1">
        <f t="array" ref="J52">INDEX($D$4:$D$33,$E52)*INDEX($AK$4:$AK$33,J$41)*J14</f>
        <v>0</v>
      </c>
      <c r="K52" s="32" cm="1">
        <f t="array" ref="K52">INDEX($D$4:$D$33,$E52)*INDEX($AK$4:$AK$33,K$41)*K14</f>
        <v>0</v>
      </c>
      <c r="L52" s="32" cm="1">
        <f t="array" ref="L52">INDEX($D$4:$D$33,$E52)*INDEX($AK$4:$AK$33,L$41)*L14</f>
        <v>0</v>
      </c>
      <c r="M52" s="32" cm="1">
        <f t="array" ref="M52">INDEX($D$4:$D$33,$E52)*INDEX($AK$4:$AK$33,M$41)*M14</f>
        <v>0</v>
      </c>
      <c r="N52" s="32" cm="1">
        <f t="array" ref="N52">INDEX($D$4:$D$33,$E52)*INDEX($AK$4:$AK$33,N$41)*N14</f>
        <v>0</v>
      </c>
      <c r="O52" s="32" cm="1">
        <f t="array" ref="O52">INDEX($D$4:$D$33,$E52)*INDEX($AK$4:$AK$33,O$41)*O14</f>
        <v>0</v>
      </c>
      <c r="P52" s="32" cm="1">
        <f t="array" ref="P52">INDEX($D$4:$D$33,$E52)*INDEX($AK$4:$AK$33,P$41)*P14</f>
        <v>0</v>
      </c>
      <c r="Q52" s="32" cm="1">
        <f t="array" ref="Q52">INDEX($D$4:$D$33,$E52)*INDEX($AK$4:$AK$33,Q$41)*Q14</f>
        <v>0</v>
      </c>
      <c r="R52" s="32" cm="1">
        <f t="array" ref="R52">INDEX($D$4:$D$33,$E52)*INDEX($AK$4:$AK$33,R$41)*R14</f>
        <v>0</v>
      </c>
      <c r="S52" s="32" cm="1">
        <f t="array" ref="S52">INDEX($D$4:$D$33,$E52)*INDEX($AK$4:$AK$33,S$41)*S14</f>
        <v>0</v>
      </c>
      <c r="T52" s="32" cm="1">
        <f t="array" ref="T52">INDEX($D$4:$D$33,$E52)*INDEX($AK$4:$AK$33,T$41)*T14</f>
        <v>0</v>
      </c>
      <c r="U52" s="32" cm="1">
        <f t="array" ref="U52">INDEX($D$4:$D$33,$E52)*INDEX($AK$4:$AK$33,U$41)*U14</f>
        <v>0</v>
      </c>
      <c r="V52" s="32" cm="1">
        <f t="array" ref="V52">INDEX($D$4:$D$33,$E52)*INDEX($AK$4:$AK$33,V$41)*V14</f>
        <v>0</v>
      </c>
      <c r="W52" s="32" cm="1">
        <f t="array" ref="W52">INDEX($D$4:$D$33,$E52)*INDEX($AK$4:$AK$33,W$41)*W14</f>
        <v>0</v>
      </c>
      <c r="X52" s="32" cm="1">
        <f t="array" ref="X52">INDEX($D$4:$D$33,$E52)*INDEX($AK$4:$AK$33,X$41)*X14</f>
        <v>0</v>
      </c>
      <c r="Y52" s="32" cm="1">
        <f t="array" ref="Y52">INDEX($D$4:$D$33,$E52)*INDEX($AK$4:$AK$33,Y$41)*Y14</f>
        <v>0</v>
      </c>
      <c r="Z52" s="32" cm="1">
        <f t="array" ref="Z52">INDEX($D$4:$D$33,$E52)*INDEX($AK$4:$AK$33,Z$41)*Z14</f>
        <v>0</v>
      </c>
      <c r="AA52" s="32" cm="1">
        <f t="array" ref="AA52">INDEX($D$4:$D$33,$E52)*INDEX($AK$4:$AK$33,AA$41)*AA14</f>
        <v>0</v>
      </c>
      <c r="AB52" s="32" cm="1">
        <f t="array" ref="AB52">INDEX($D$4:$D$33,$E52)*INDEX($AK$4:$AK$33,AB$41)*AB14</f>
        <v>0</v>
      </c>
      <c r="AC52" s="32" cm="1">
        <f t="array" ref="AC52">INDEX($D$4:$D$33,$E52)*INDEX($AK$4:$AK$33,AC$41)*AC14</f>
        <v>0</v>
      </c>
      <c r="AD52" s="32" cm="1">
        <f t="array" ref="AD52">INDEX($D$4:$D$33,$E52)*INDEX($AK$4:$AK$33,AD$41)*AD14</f>
        <v>0</v>
      </c>
      <c r="AE52" s="32" cm="1">
        <f t="array" ref="AE52">INDEX($D$4:$D$33,$E52)*INDEX($AK$4:$AK$33,AE$41)*AE14</f>
        <v>0</v>
      </c>
      <c r="AF52" s="32" cm="1">
        <f t="array" ref="AF52">INDEX($D$4:$D$33,$E52)*INDEX($AK$4:$AK$33,AF$41)*AF14</f>
        <v>0</v>
      </c>
      <c r="AG52" s="32" cm="1">
        <f t="array" ref="AG52">INDEX($D$4:$D$33,$E52)*INDEX($AK$4:$AK$33,AG$41)*AG14</f>
        <v>0</v>
      </c>
      <c r="AH52" s="32" cm="1">
        <f t="array" ref="AH52">INDEX($D$4:$D$33,$E52)*INDEX($AK$4:$AK$33,AH$41)*AH14</f>
        <v>0</v>
      </c>
      <c r="AI52" s="32" cm="1">
        <f t="array" ref="AI52">INDEX($D$4:$D$33,$E52)*INDEX($AK$4:$AK$33,AI$41)*AI14</f>
        <v>0</v>
      </c>
      <c r="AS52">
        <v>10</v>
      </c>
      <c r="AT52" s="51">
        <v>0</v>
      </c>
      <c r="AU52" s="51">
        <v>0.25918582850410898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1.0929777070398601</v>
      </c>
      <c r="BD52" s="51">
        <v>0</v>
      </c>
      <c r="BE52" s="51">
        <v>0</v>
      </c>
      <c r="BF52" s="51">
        <v>0.49156351057506398</v>
      </c>
      <c r="BG52" s="51">
        <v>0.25834387327659603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0.24259812416947499</v>
      </c>
      <c r="BP52" s="51">
        <v>0.25558334460204002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</row>
    <row r="53" spans="5:75" x14ac:dyDescent="0.25">
      <c r="E53" s="33">
        <v>12</v>
      </c>
      <c r="F53" s="32" cm="1">
        <f t="array" ref="F53">INDEX($D$4:$D$33,$E53)*INDEX($AK$4:$AK$33,F$41)*F15</f>
        <v>0</v>
      </c>
      <c r="G53" s="32" cm="1">
        <f t="array" ref="G53">INDEX($D$4:$D$33,$E53)*INDEX($AK$4:$AK$33,G$41)*G15</f>
        <v>0</v>
      </c>
      <c r="H53" s="32" cm="1">
        <f t="array" ref="H53">INDEX($D$4:$D$33,$E53)*INDEX($AK$4:$AK$33,H$41)*H15</f>
        <v>0</v>
      </c>
      <c r="I53" s="32" cm="1">
        <f t="array" ref="I53">INDEX($D$4:$D$33,$E53)*INDEX($AK$4:$AK$33,I$41)*I15</f>
        <v>0</v>
      </c>
      <c r="J53" s="32" cm="1">
        <f t="array" ref="J53">INDEX($D$4:$D$33,$E53)*INDEX($AK$4:$AK$33,J$41)*J15</f>
        <v>0</v>
      </c>
      <c r="K53" s="32" cm="1">
        <f t="array" ref="K53">INDEX($D$4:$D$33,$E53)*INDEX($AK$4:$AK$33,K$41)*K15</f>
        <v>0</v>
      </c>
      <c r="L53" s="32" cm="1">
        <f t="array" ref="L53">INDEX($D$4:$D$33,$E53)*INDEX($AK$4:$AK$33,L$41)*L15</f>
        <v>0</v>
      </c>
      <c r="M53" s="32" cm="1">
        <f t="array" ref="M53">INDEX($D$4:$D$33,$E53)*INDEX($AK$4:$AK$33,M$41)*M15</f>
        <v>0</v>
      </c>
      <c r="N53" s="32" cm="1">
        <f t="array" ref="N53">INDEX($D$4:$D$33,$E53)*INDEX($AK$4:$AK$33,N$41)*N15</f>
        <v>0</v>
      </c>
      <c r="O53" s="32" cm="1">
        <f t="array" ref="O53">INDEX($D$4:$D$33,$E53)*INDEX($AK$4:$AK$33,O$41)*O15</f>
        <v>0</v>
      </c>
      <c r="P53" s="32" cm="1">
        <f t="array" ref="P53">INDEX($D$4:$D$33,$E53)*INDEX($AK$4:$AK$33,P$41)*P15</f>
        <v>0</v>
      </c>
      <c r="Q53" s="32" cm="1">
        <f t="array" ref="Q53">INDEX($D$4:$D$33,$E53)*INDEX($AK$4:$AK$33,Q$41)*Q15</f>
        <v>0</v>
      </c>
      <c r="R53" s="32" cm="1">
        <f t="array" ref="R53">INDEX($D$4:$D$33,$E53)*INDEX($AK$4:$AK$33,R$41)*R15</f>
        <v>0</v>
      </c>
      <c r="S53" s="32" cm="1">
        <f t="array" ref="S53">INDEX($D$4:$D$33,$E53)*INDEX($AK$4:$AK$33,S$41)*S15</f>
        <v>0</v>
      </c>
      <c r="T53" s="32" cm="1">
        <f t="array" ref="T53">INDEX($D$4:$D$33,$E53)*INDEX($AK$4:$AK$33,T$41)*T15</f>
        <v>0</v>
      </c>
      <c r="U53" s="32" cm="1">
        <f t="array" ref="U53">INDEX($D$4:$D$33,$E53)*INDEX($AK$4:$AK$33,U$41)*U15</f>
        <v>0</v>
      </c>
      <c r="V53" s="32" cm="1">
        <f t="array" ref="V53">INDEX($D$4:$D$33,$E53)*INDEX($AK$4:$AK$33,V$41)*V15</f>
        <v>0</v>
      </c>
      <c r="W53" s="32" cm="1">
        <f t="array" ref="W53">INDEX($D$4:$D$33,$E53)*INDEX($AK$4:$AK$33,W$41)*W15</f>
        <v>0</v>
      </c>
      <c r="X53" s="32" cm="1">
        <f t="array" ref="X53">INDEX($D$4:$D$33,$E53)*INDEX($AK$4:$AK$33,X$41)*X15</f>
        <v>0</v>
      </c>
      <c r="Y53" s="32" cm="1">
        <f t="array" ref="Y53">INDEX($D$4:$D$33,$E53)*INDEX($AK$4:$AK$33,Y$41)*Y15</f>
        <v>0</v>
      </c>
      <c r="Z53" s="32" cm="1">
        <f t="array" ref="Z53">INDEX($D$4:$D$33,$E53)*INDEX($AK$4:$AK$33,Z$41)*Z15</f>
        <v>0</v>
      </c>
      <c r="AA53" s="32" cm="1">
        <f t="array" ref="AA53">INDEX($D$4:$D$33,$E53)*INDEX($AK$4:$AK$33,AA$41)*AA15</f>
        <v>0</v>
      </c>
      <c r="AB53" s="32" cm="1">
        <f t="array" ref="AB53">INDEX($D$4:$D$33,$E53)*INDEX($AK$4:$AK$33,AB$41)*AB15</f>
        <v>0</v>
      </c>
      <c r="AC53" s="32" cm="1">
        <f t="array" ref="AC53">INDEX($D$4:$D$33,$E53)*INDEX($AK$4:$AK$33,AC$41)*AC15</f>
        <v>0</v>
      </c>
      <c r="AD53" s="32" cm="1">
        <f t="array" ref="AD53">INDEX($D$4:$D$33,$E53)*INDEX($AK$4:$AK$33,AD$41)*AD15</f>
        <v>0</v>
      </c>
      <c r="AE53" s="32" cm="1">
        <f t="array" ref="AE53">INDEX($D$4:$D$33,$E53)*INDEX($AK$4:$AK$33,AE$41)*AE15</f>
        <v>0</v>
      </c>
      <c r="AF53" s="32" cm="1">
        <f t="array" ref="AF53">INDEX($D$4:$D$33,$E53)*INDEX($AK$4:$AK$33,AF$41)*AF15</f>
        <v>0</v>
      </c>
      <c r="AG53" s="32" cm="1">
        <f t="array" ref="AG53">INDEX($D$4:$D$33,$E53)*INDEX($AK$4:$AK$33,AG$41)*AG15</f>
        <v>0</v>
      </c>
      <c r="AH53" s="32" cm="1">
        <f t="array" ref="AH53">INDEX($D$4:$D$33,$E53)*INDEX($AK$4:$AK$33,AH$41)*AH15</f>
        <v>0</v>
      </c>
      <c r="AI53" s="32" cm="1">
        <f t="array" ref="AI53">INDEX($D$4:$D$33,$E53)*INDEX($AK$4:$AK$33,AI$41)*AI15</f>
        <v>0</v>
      </c>
      <c r="AS53">
        <v>11</v>
      </c>
      <c r="AT53" s="51">
        <v>0</v>
      </c>
      <c r="AU53" s="51">
        <v>0.49519740805701301</v>
      </c>
      <c r="AV53" s="51">
        <v>0.25502534118611297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0.254187296617161</v>
      </c>
      <c r="BC53" s="51">
        <v>0</v>
      </c>
      <c r="BD53" s="51">
        <v>0.93152261633551003</v>
      </c>
      <c r="BE53" s="51">
        <v>0</v>
      </c>
      <c r="BF53" s="51">
        <v>0</v>
      </c>
      <c r="BG53" s="51">
        <v>0</v>
      </c>
      <c r="BH53" s="51">
        <v>0</v>
      </c>
      <c r="BI53" s="51">
        <v>0.24552050153997201</v>
      </c>
      <c r="BJ53" s="51">
        <v>0.24194263562471699</v>
      </c>
      <c r="BK53" s="51">
        <v>0.251376473217444</v>
      </c>
      <c r="BL53" s="51">
        <v>0</v>
      </c>
      <c r="BM53" s="51">
        <v>0.25011914103330302</v>
      </c>
      <c r="BN53" s="51">
        <v>0</v>
      </c>
      <c r="BO53" s="51">
        <v>0</v>
      </c>
      <c r="BP53" s="51">
        <v>0</v>
      </c>
      <c r="BQ53" s="51">
        <v>0</v>
      </c>
      <c r="BR53" s="51">
        <v>0.245150165082475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</row>
    <row r="54" spans="5:75" x14ac:dyDescent="0.25">
      <c r="E54" s="33">
        <v>13</v>
      </c>
      <c r="F54" s="32" cm="1">
        <f t="array" ref="F54">INDEX($D$4:$D$33,$E54)*INDEX($AK$4:$AK$33,F$41)*F16</f>
        <v>0</v>
      </c>
      <c r="G54" s="32" cm="1">
        <f t="array" ref="G54">INDEX($D$4:$D$33,$E54)*INDEX($AK$4:$AK$33,G$41)*G16</f>
        <v>0</v>
      </c>
      <c r="H54" s="32" cm="1">
        <f t="array" ref="H54">INDEX($D$4:$D$33,$E54)*INDEX($AK$4:$AK$33,H$41)*H16</f>
        <v>0</v>
      </c>
      <c r="I54" s="32" cm="1">
        <f t="array" ref="I54">INDEX($D$4:$D$33,$E54)*INDEX($AK$4:$AK$33,I$41)*I16</f>
        <v>0</v>
      </c>
      <c r="J54" s="32" cm="1">
        <f t="array" ref="J54">INDEX($D$4:$D$33,$E54)*INDEX($AK$4:$AK$33,J$41)*J16</f>
        <v>0</v>
      </c>
      <c r="K54" s="32" cm="1">
        <f t="array" ref="K54">INDEX($D$4:$D$33,$E54)*INDEX($AK$4:$AK$33,K$41)*K16</f>
        <v>0</v>
      </c>
      <c r="L54" s="32" cm="1">
        <f t="array" ref="L54">INDEX($D$4:$D$33,$E54)*INDEX($AK$4:$AK$33,L$41)*L16</f>
        <v>0</v>
      </c>
      <c r="M54" s="32" cm="1">
        <f t="array" ref="M54">INDEX($D$4:$D$33,$E54)*INDEX($AK$4:$AK$33,M$41)*M16</f>
        <v>0</v>
      </c>
      <c r="N54" s="32" cm="1">
        <f t="array" ref="N54">INDEX($D$4:$D$33,$E54)*INDEX($AK$4:$AK$33,N$41)*N16</f>
        <v>0</v>
      </c>
      <c r="O54" s="32" cm="1">
        <f t="array" ref="O54">INDEX($D$4:$D$33,$E54)*INDEX($AK$4:$AK$33,O$41)*O16</f>
        <v>0</v>
      </c>
      <c r="P54" s="32" cm="1">
        <f t="array" ref="P54">INDEX($D$4:$D$33,$E54)*INDEX($AK$4:$AK$33,P$41)*P16</f>
        <v>0</v>
      </c>
      <c r="Q54" s="32" cm="1">
        <f t="array" ref="Q54">INDEX($D$4:$D$33,$E54)*INDEX($AK$4:$AK$33,Q$41)*Q16</f>
        <v>0</v>
      </c>
      <c r="R54" s="32" cm="1">
        <f t="array" ref="R54">INDEX($D$4:$D$33,$E54)*INDEX($AK$4:$AK$33,R$41)*R16</f>
        <v>0</v>
      </c>
      <c r="S54" s="32" cm="1">
        <f t="array" ref="S54">INDEX($D$4:$D$33,$E54)*INDEX($AK$4:$AK$33,S$41)*S16</f>
        <v>0</v>
      </c>
      <c r="T54" s="32" cm="1">
        <f t="array" ref="T54">INDEX($D$4:$D$33,$E54)*INDEX($AK$4:$AK$33,T$41)*T16</f>
        <v>0</v>
      </c>
      <c r="U54" s="32" cm="1">
        <f t="array" ref="U54">INDEX($D$4:$D$33,$E54)*INDEX($AK$4:$AK$33,U$41)*U16</f>
        <v>0</v>
      </c>
      <c r="V54" s="32" cm="1">
        <f t="array" ref="V54">INDEX($D$4:$D$33,$E54)*INDEX($AK$4:$AK$33,V$41)*V16</f>
        <v>0</v>
      </c>
      <c r="W54" s="32" cm="1">
        <f t="array" ref="W54">INDEX($D$4:$D$33,$E54)*INDEX($AK$4:$AK$33,W$41)*W16</f>
        <v>0</v>
      </c>
      <c r="X54" s="32" cm="1">
        <f t="array" ref="X54">INDEX($D$4:$D$33,$E54)*INDEX($AK$4:$AK$33,X$41)*X16</f>
        <v>0</v>
      </c>
      <c r="Y54" s="32" cm="1">
        <f t="array" ref="Y54">INDEX($D$4:$D$33,$E54)*INDEX($AK$4:$AK$33,Y$41)*Y16</f>
        <v>0</v>
      </c>
      <c r="Z54" s="32" cm="1">
        <f t="array" ref="Z54">INDEX($D$4:$D$33,$E54)*INDEX($AK$4:$AK$33,Z$41)*Z16</f>
        <v>0</v>
      </c>
      <c r="AA54" s="32" cm="1">
        <f t="array" ref="AA54">INDEX($D$4:$D$33,$E54)*INDEX($AK$4:$AK$33,AA$41)*AA16</f>
        <v>0</v>
      </c>
      <c r="AB54" s="32" cm="1">
        <f t="array" ref="AB54">INDEX($D$4:$D$33,$E54)*INDEX($AK$4:$AK$33,AB$41)*AB16</f>
        <v>0</v>
      </c>
      <c r="AC54" s="32" cm="1">
        <f t="array" ref="AC54">INDEX($D$4:$D$33,$E54)*INDEX($AK$4:$AK$33,AC$41)*AC16</f>
        <v>0</v>
      </c>
      <c r="AD54" s="32" cm="1">
        <f t="array" ref="AD54">INDEX($D$4:$D$33,$E54)*INDEX($AK$4:$AK$33,AD$41)*AD16</f>
        <v>0</v>
      </c>
      <c r="AE54" s="32" cm="1">
        <f t="array" ref="AE54">INDEX($D$4:$D$33,$E54)*INDEX($AK$4:$AK$33,AE$41)*AE16</f>
        <v>0</v>
      </c>
      <c r="AF54" s="32" cm="1">
        <f t="array" ref="AF54">INDEX($D$4:$D$33,$E54)*INDEX($AK$4:$AK$33,AF$41)*AF16</f>
        <v>0</v>
      </c>
      <c r="AG54" s="32" cm="1">
        <f t="array" ref="AG54">INDEX($D$4:$D$33,$E54)*INDEX($AK$4:$AK$33,AG$41)*AG16</f>
        <v>0</v>
      </c>
      <c r="AH54" s="32" cm="1">
        <f t="array" ref="AH54">INDEX($D$4:$D$33,$E54)*INDEX($AK$4:$AK$33,AH$41)*AH16</f>
        <v>0</v>
      </c>
      <c r="AI54" s="32" cm="1">
        <f t="array" ref="AI54">INDEX($D$4:$D$33,$E54)*INDEX($AK$4:$AK$33,AI$41)*AI16</f>
        <v>0</v>
      </c>
      <c r="AS54">
        <v>12</v>
      </c>
      <c r="AT54" s="51">
        <v>0.25094431059927602</v>
      </c>
      <c r="AU54" s="51">
        <v>0</v>
      </c>
      <c r="AV54" s="51">
        <v>0.25389657245951602</v>
      </c>
      <c r="AW54" s="51">
        <v>0</v>
      </c>
      <c r="AX54" s="51">
        <v>0</v>
      </c>
      <c r="AY54" s="51">
        <v>0</v>
      </c>
      <c r="AZ54" s="51">
        <v>0.24877488719312801</v>
      </c>
      <c r="BA54" s="51">
        <v>0.25646915656654601</v>
      </c>
      <c r="BB54" s="51">
        <v>0</v>
      </c>
      <c r="BC54" s="51">
        <v>0</v>
      </c>
      <c r="BD54" s="51">
        <v>0</v>
      </c>
      <c r="BE54" s="51">
        <v>1.0941185563521201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0.509237961617101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0.246742452887978</v>
      </c>
    </row>
    <row r="55" spans="5:75" x14ac:dyDescent="0.25">
      <c r="E55" s="33">
        <v>14</v>
      </c>
      <c r="F55" s="32" cm="1">
        <f t="array" ref="F55">INDEX($D$4:$D$33,$E55)*INDEX($AK$4:$AK$33,F$41)*F17</f>
        <v>0</v>
      </c>
      <c r="G55" s="32" cm="1">
        <f t="array" ref="G55">INDEX($D$4:$D$33,$E55)*INDEX($AK$4:$AK$33,G$41)*G17</f>
        <v>0</v>
      </c>
      <c r="H55" s="32" cm="1">
        <f t="array" ref="H55">INDEX($D$4:$D$33,$E55)*INDEX($AK$4:$AK$33,H$41)*H17</f>
        <v>0</v>
      </c>
      <c r="I55" s="32" cm="1">
        <f t="array" ref="I55">INDEX($D$4:$D$33,$E55)*INDEX($AK$4:$AK$33,I$41)*I17</f>
        <v>0</v>
      </c>
      <c r="J55" s="32" cm="1">
        <f t="array" ref="J55">INDEX($D$4:$D$33,$E55)*INDEX($AK$4:$AK$33,J$41)*J17</f>
        <v>0</v>
      </c>
      <c r="K55" s="32" cm="1">
        <f t="array" ref="K55">INDEX($D$4:$D$33,$E55)*INDEX($AK$4:$AK$33,K$41)*K17</f>
        <v>0</v>
      </c>
      <c r="L55" s="32" cm="1">
        <f t="array" ref="L55">INDEX($D$4:$D$33,$E55)*INDEX($AK$4:$AK$33,L$41)*L17</f>
        <v>0</v>
      </c>
      <c r="M55" s="32" cm="1">
        <f t="array" ref="M55">INDEX($D$4:$D$33,$E55)*INDEX($AK$4:$AK$33,M$41)*M17</f>
        <v>0</v>
      </c>
      <c r="N55" s="32" cm="1">
        <f t="array" ref="N55">INDEX($D$4:$D$33,$E55)*INDEX($AK$4:$AK$33,N$41)*N17</f>
        <v>0</v>
      </c>
      <c r="O55" s="32" cm="1">
        <f t="array" ref="O55">INDEX($D$4:$D$33,$E55)*INDEX($AK$4:$AK$33,O$41)*O17</f>
        <v>0</v>
      </c>
      <c r="P55" s="32" cm="1">
        <f t="array" ref="P55">INDEX($D$4:$D$33,$E55)*INDEX($AK$4:$AK$33,P$41)*P17</f>
        <v>0</v>
      </c>
      <c r="Q55" s="32" cm="1">
        <f t="array" ref="Q55">INDEX($D$4:$D$33,$E55)*INDEX($AK$4:$AK$33,Q$41)*Q17</f>
        <v>0</v>
      </c>
      <c r="R55" s="32" cm="1">
        <f t="array" ref="R55">INDEX($D$4:$D$33,$E55)*INDEX($AK$4:$AK$33,R$41)*R17</f>
        <v>0</v>
      </c>
      <c r="S55" s="32" cm="1">
        <f t="array" ref="S55">INDEX($D$4:$D$33,$E55)*INDEX($AK$4:$AK$33,S$41)*S17</f>
        <v>0</v>
      </c>
      <c r="T55" s="32" cm="1">
        <f t="array" ref="T55">INDEX($D$4:$D$33,$E55)*INDEX($AK$4:$AK$33,T$41)*T17</f>
        <v>0</v>
      </c>
      <c r="U55" s="32" cm="1">
        <f t="array" ref="U55">INDEX($D$4:$D$33,$E55)*INDEX($AK$4:$AK$33,U$41)*U17</f>
        <v>0</v>
      </c>
      <c r="V55" s="32" cm="1">
        <f t="array" ref="V55">INDEX($D$4:$D$33,$E55)*INDEX($AK$4:$AK$33,V$41)*V17</f>
        <v>0</v>
      </c>
      <c r="W55" s="32" cm="1">
        <f t="array" ref="W55">INDEX($D$4:$D$33,$E55)*INDEX($AK$4:$AK$33,W$41)*W17</f>
        <v>0</v>
      </c>
      <c r="X55" s="32" cm="1">
        <f t="array" ref="X55">INDEX($D$4:$D$33,$E55)*INDEX($AK$4:$AK$33,X$41)*X17</f>
        <v>0</v>
      </c>
      <c r="Y55" s="32" cm="1">
        <f t="array" ref="Y55">INDEX($D$4:$D$33,$E55)*INDEX($AK$4:$AK$33,Y$41)*Y17</f>
        <v>0</v>
      </c>
      <c r="Z55" s="32" cm="1">
        <f t="array" ref="Z55">INDEX($D$4:$D$33,$E55)*INDEX($AK$4:$AK$33,Z$41)*Z17</f>
        <v>0</v>
      </c>
      <c r="AA55" s="32" cm="1">
        <f t="array" ref="AA55">INDEX($D$4:$D$33,$E55)*INDEX($AK$4:$AK$33,AA$41)*AA17</f>
        <v>0</v>
      </c>
      <c r="AB55" s="32" cm="1">
        <f t="array" ref="AB55">INDEX($D$4:$D$33,$E55)*INDEX($AK$4:$AK$33,AB$41)*AB17</f>
        <v>0</v>
      </c>
      <c r="AC55" s="32" cm="1">
        <f t="array" ref="AC55">INDEX($D$4:$D$33,$E55)*INDEX($AK$4:$AK$33,AC$41)*AC17</f>
        <v>0</v>
      </c>
      <c r="AD55" s="32" cm="1">
        <f t="array" ref="AD55">INDEX($D$4:$D$33,$E55)*INDEX($AK$4:$AK$33,AD$41)*AD17</f>
        <v>0</v>
      </c>
      <c r="AE55" s="32" cm="1">
        <f t="array" ref="AE55">INDEX($D$4:$D$33,$E55)*INDEX($AK$4:$AK$33,AE$41)*AE17</f>
        <v>0</v>
      </c>
      <c r="AF55" s="32" cm="1">
        <f t="array" ref="AF55">INDEX($D$4:$D$33,$E55)*INDEX($AK$4:$AK$33,AF$41)*AF17</f>
        <v>0</v>
      </c>
      <c r="AG55" s="32" cm="1">
        <f t="array" ref="AG55">INDEX($D$4:$D$33,$E55)*INDEX($AK$4:$AK$33,AG$41)*AG17</f>
        <v>0</v>
      </c>
      <c r="AH55" s="32" cm="1">
        <f t="array" ref="AH55">INDEX($D$4:$D$33,$E55)*INDEX($AK$4:$AK$33,AH$41)*AH17</f>
        <v>0</v>
      </c>
      <c r="AI55" s="32" cm="1">
        <f t="array" ref="AI55">INDEX($D$4:$D$33,$E55)*INDEX($AK$4:$AK$33,AI$41)*AI17</f>
        <v>0</v>
      </c>
      <c r="AS55">
        <v>13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0.24393190500862399</v>
      </c>
      <c r="BC55" s="51">
        <v>0.49156351057506398</v>
      </c>
      <c r="BD55" s="51">
        <v>0</v>
      </c>
      <c r="BE55" s="51">
        <v>0</v>
      </c>
      <c r="BF55" s="51">
        <v>1.0914333896485899</v>
      </c>
      <c r="BG55" s="51">
        <v>0</v>
      </c>
      <c r="BH55" s="51">
        <v>0</v>
      </c>
      <c r="BI55" s="51">
        <v>0.25398153445313398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0.24703319014125999</v>
      </c>
      <c r="BP55" s="51">
        <v>0.25919487917032202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</row>
    <row r="56" spans="5:75" x14ac:dyDescent="0.25">
      <c r="E56" s="33">
        <v>15</v>
      </c>
      <c r="F56" s="32" cm="1">
        <f t="array" ref="F56">INDEX($D$4:$D$33,$E56)*INDEX($AK$4:$AK$33,F$41)*F18</f>
        <v>0</v>
      </c>
      <c r="G56" s="32" cm="1">
        <f t="array" ref="G56">INDEX($D$4:$D$33,$E56)*INDEX($AK$4:$AK$33,G$41)*G18</f>
        <v>0</v>
      </c>
      <c r="H56" s="32" cm="1">
        <f t="array" ref="H56">INDEX($D$4:$D$33,$E56)*INDEX($AK$4:$AK$33,H$41)*H18</f>
        <v>0</v>
      </c>
      <c r="I56" s="32" cm="1">
        <f t="array" ref="I56">INDEX($D$4:$D$33,$E56)*INDEX($AK$4:$AK$33,I$41)*I18</f>
        <v>0</v>
      </c>
      <c r="J56" s="32" cm="1">
        <f t="array" ref="J56">INDEX($D$4:$D$33,$E56)*INDEX($AK$4:$AK$33,J$41)*J18</f>
        <v>0</v>
      </c>
      <c r="K56" s="32" cm="1">
        <f t="array" ref="K56">INDEX($D$4:$D$33,$E56)*INDEX($AK$4:$AK$33,K$41)*K18</f>
        <v>0</v>
      </c>
      <c r="L56" s="32" cm="1">
        <f t="array" ref="L56">INDEX($D$4:$D$33,$E56)*INDEX($AK$4:$AK$33,L$41)*L18</f>
        <v>0</v>
      </c>
      <c r="M56" s="32" cm="1">
        <f t="array" ref="M56">INDEX($D$4:$D$33,$E56)*INDEX($AK$4:$AK$33,M$41)*M18</f>
        <v>0</v>
      </c>
      <c r="N56" s="32" cm="1">
        <f t="array" ref="N56">INDEX($D$4:$D$33,$E56)*INDEX($AK$4:$AK$33,N$41)*N18</f>
        <v>0</v>
      </c>
      <c r="O56" s="32" cm="1">
        <f t="array" ref="O56">INDEX($D$4:$D$33,$E56)*INDEX($AK$4:$AK$33,O$41)*O18</f>
        <v>0</v>
      </c>
      <c r="P56" s="32" cm="1">
        <f t="array" ref="P56">INDEX($D$4:$D$33,$E56)*INDEX($AK$4:$AK$33,P$41)*P18</f>
        <v>0</v>
      </c>
      <c r="Q56" s="32" cm="1">
        <f t="array" ref="Q56">INDEX($D$4:$D$33,$E56)*INDEX($AK$4:$AK$33,Q$41)*Q18</f>
        <v>0</v>
      </c>
      <c r="R56" s="32" cm="1">
        <f t="array" ref="R56">INDEX($D$4:$D$33,$E56)*INDEX($AK$4:$AK$33,R$41)*R18</f>
        <v>0</v>
      </c>
      <c r="S56" s="32" cm="1">
        <f t="array" ref="S56">INDEX($D$4:$D$33,$E56)*INDEX($AK$4:$AK$33,S$41)*S18</f>
        <v>0</v>
      </c>
      <c r="T56" s="32" cm="1">
        <f t="array" ref="T56">INDEX($D$4:$D$33,$E56)*INDEX($AK$4:$AK$33,T$41)*T18</f>
        <v>0</v>
      </c>
      <c r="U56" s="32" cm="1">
        <f t="array" ref="U56">INDEX($D$4:$D$33,$E56)*INDEX($AK$4:$AK$33,U$41)*U18</f>
        <v>0</v>
      </c>
      <c r="V56" s="32" cm="1">
        <f t="array" ref="V56">INDEX($D$4:$D$33,$E56)*INDEX($AK$4:$AK$33,V$41)*V18</f>
        <v>0</v>
      </c>
      <c r="W56" s="32" cm="1">
        <f t="array" ref="W56">INDEX($D$4:$D$33,$E56)*INDEX($AK$4:$AK$33,W$41)*W18</f>
        <v>0</v>
      </c>
      <c r="X56" s="32" cm="1">
        <f t="array" ref="X56">INDEX($D$4:$D$33,$E56)*INDEX($AK$4:$AK$33,X$41)*X18</f>
        <v>0</v>
      </c>
      <c r="Y56" s="32" cm="1">
        <f t="array" ref="Y56">INDEX($D$4:$D$33,$E56)*INDEX($AK$4:$AK$33,Y$41)*Y18</f>
        <v>0</v>
      </c>
      <c r="Z56" s="32" cm="1">
        <f t="array" ref="Z56">INDEX($D$4:$D$33,$E56)*INDEX($AK$4:$AK$33,Z$41)*Z18</f>
        <v>0</v>
      </c>
      <c r="AA56" s="32" cm="1">
        <f t="array" ref="AA56">INDEX($D$4:$D$33,$E56)*INDEX($AK$4:$AK$33,AA$41)*AA18</f>
        <v>0</v>
      </c>
      <c r="AB56" s="32" cm="1">
        <f t="array" ref="AB56">INDEX($D$4:$D$33,$E56)*INDEX($AK$4:$AK$33,AB$41)*AB18</f>
        <v>0</v>
      </c>
      <c r="AC56" s="32" cm="1">
        <f t="array" ref="AC56">INDEX($D$4:$D$33,$E56)*INDEX($AK$4:$AK$33,AC$41)*AC18</f>
        <v>0</v>
      </c>
      <c r="AD56" s="32" cm="1">
        <f t="array" ref="AD56">INDEX($D$4:$D$33,$E56)*INDEX($AK$4:$AK$33,AD$41)*AD18</f>
        <v>0</v>
      </c>
      <c r="AE56" s="32" cm="1">
        <f t="array" ref="AE56">INDEX($D$4:$D$33,$E56)*INDEX($AK$4:$AK$33,AE$41)*AE18</f>
        <v>0</v>
      </c>
      <c r="AF56" s="32" cm="1">
        <f t="array" ref="AF56">INDEX($D$4:$D$33,$E56)*INDEX($AK$4:$AK$33,AF$41)*AF18</f>
        <v>0</v>
      </c>
      <c r="AG56" s="32" cm="1">
        <f t="array" ref="AG56">INDEX($D$4:$D$33,$E56)*INDEX($AK$4:$AK$33,AG$41)*AG18</f>
        <v>0</v>
      </c>
      <c r="AH56" s="32" cm="1">
        <f t="array" ref="AH56">INDEX($D$4:$D$33,$E56)*INDEX($AK$4:$AK$33,AH$41)*AH18</f>
        <v>0</v>
      </c>
      <c r="AI56" s="32" cm="1">
        <f t="array" ref="AI56">INDEX($D$4:$D$33,$E56)*INDEX($AK$4:$AK$33,AI$41)*AI18</f>
        <v>0</v>
      </c>
      <c r="AS56">
        <v>14</v>
      </c>
      <c r="AT56" s="51">
        <v>0</v>
      </c>
      <c r="AU56" s="51">
        <v>0</v>
      </c>
      <c r="AV56" s="51">
        <v>0</v>
      </c>
      <c r="AW56" s="51">
        <v>0.24092342781262299</v>
      </c>
      <c r="AX56" s="51">
        <v>0</v>
      </c>
      <c r="AY56" s="51">
        <v>0.25514400458221398</v>
      </c>
      <c r="AZ56" s="51">
        <v>0.25509373363964699</v>
      </c>
      <c r="BA56" s="51">
        <v>0.50634606441306895</v>
      </c>
      <c r="BB56" s="51">
        <v>0</v>
      </c>
      <c r="BC56" s="51">
        <v>0.25834387327659603</v>
      </c>
      <c r="BD56" s="51">
        <v>0</v>
      </c>
      <c r="BE56" s="51">
        <v>0</v>
      </c>
      <c r="BF56" s="51">
        <v>0</v>
      </c>
      <c r="BG56" s="51">
        <v>0.99707512974456802</v>
      </c>
      <c r="BH56" s="51">
        <v>0.50992269433253801</v>
      </c>
      <c r="BI56" s="51">
        <v>0</v>
      </c>
      <c r="BJ56" s="51">
        <v>0</v>
      </c>
      <c r="BK56" s="51">
        <v>0</v>
      </c>
      <c r="BL56" s="51">
        <v>0.25203963882803299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0.25531033576298001</v>
      </c>
      <c r="BT56" s="51">
        <v>0</v>
      </c>
      <c r="BU56" s="51">
        <v>0</v>
      </c>
      <c r="BV56" s="51">
        <v>0</v>
      </c>
      <c r="BW56" s="51">
        <v>0</v>
      </c>
    </row>
    <row r="57" spans="5:75" x14ac:dyDescent="0.25">
      <c r="E57" s="33">
        <v>16</v>
      </c>
      <c r="F57" s="32" cm="1">
        <f t="array" ref="F57">INDEX($D$4:$D$33,$E57)*INDEX($AK$4:$AK$33,F$41)*F19</f>
        <v>0</v>
      </c>
      <c r="G57" s="32" cm="1">
        <f t="array" ref="G57">INDEX($D$4:$D$33,$E57)*INDEX($AK$4:$AK$33,G$41)*G19</f>
        <v>0</v>
      </c>
      <c r="H57" s="32" cm="1">
        <f t="array" ref="H57">INDEX($D$4:$D$33,$E57)*INDEX($AK$4:$AK$33,H$41)*H19</f>
        <v>0</v>
      </c>
      <c r="I57" s="32" cm="1">
        <f t="array" ref="I57">INDEX($D$4:$D$33,$E57)*INDEX($AK$4:$AK$33,I$41)*I19</f>
        <v>0</v>
      </c>
      <c r="J57" s="32" cm="1">
        <f t="array" ref="J57">INDEX($D$4:$D$33,$E57)*INDEX($AK$4:$AK$33,J$41)*J19</f>
        <v>0</v>
      </c>
      <c r="K57" s="32" cm="1">
        <f t="array" ref="K57">INDEX($D$4:$D$33,$E57)*INDEX($AK$4:$AK$33,K$41)*K19</f>
        <v>0</v>
      </c>
      <c r="L57" s="32" cm="1">
        <f t="array" ref="L57">INDEX($D$4:$D$33,$E57)*INDEX($AK$4:$AK$33,L$41)*L19</f>
        <v>0</v>
      </c>
      <c r="M57" s="32" cm="1">
        <f t="array" ref="M57">INDEX($D$4:$D$33,$E57)*INDEX($AK$4:$AK$33,M$41)*M19</f>
        <v>0</v>
      </c>
      <c r="N57" s="32" cm="1">
        <f t="array" ref="N57">INDEX($D$4:$D$33,$E57)*INDEX($AK$4:$AK$33,N$41)*N19</f>
        <v>0</v>
      </c>
      <c r="O57" s="32" cm="1">
        <f t="array" ref="O57">INDEX($D$4:$D$33,$E57)*INDEX($AK$4:$AK$33,O$41)*O19</f>
        <v>0</v>
      </c>
      <c r="P57" s="32" cm="1">
        <f t="array" ref="P57">INDEX($D$4:$D$33,$E57)*INDEX($AK$4:$AK$33,P$41)*P19</f>
        <v>0</v>
      </c>
      <c r="Q57" s="32" cm="1">
        <f t="array" ref="Q57">INDEX($D$4:$D$33,$E57)*INDEX($AK$4:$AK$33,Q$41)*Q19</f>
        <v>0</v>
      </c>
      <c r="R57" s="32" cm="1">
        <f t="array" ref="R57">INDEX($D$4:$D$33,$E57)*INDEX($AK$4:$AK$33,R$41)*R19</f>
        <v>0</v>
      </c>
      <c r="S57" s="32" cm="1">
        <f t="array" ref="S57">INDEX($D$4:$D$33,$E57)*INDEX($AK$4:$AK$33,S$41)*S19</f>
        <v>0</v>
      </c>
      <c r="T57" s="32" cm="1">
        <f t="array" ref="T57">INDEX($D$4:$D$33,$E57)*INDEX($AK$4:$AK$33,T$41)*T19</f>
        <v>0</v>
      </c>
      <c r="U57" s="32" cm="1">
        <f t="array" ref="U57">INDEX($D$4:$D$33,$E57)*INDEX($AK$4:$AK$33,U$41)*U19</f>
        <v>0</v>
      </c>
      <c r="V57" s="32" cm="1">
        <f t="array" ref="V57">INDEX($D$4:$D$33,$E57)*INDEX($AK$4:$AK$33,V$41)*V19</f>
        <v>0</v>
      </c>
      <c r="W57" s="32" cm="1">
        <f t="array" ref="W57">INDEX($D$4:$D$33,$E57)*INDEX($AK$4:$AK$33,W$41)*W19</f>
        <v>0</v>
      </c>
      <c r="X57" s="32" cm="1">
        <f t="array" ref="X57">INDEX($D$4:$D$33,$E57)*INDEX($AK$4:$AK$33,X$41)*X19</f>
        <v>0</v>
      </c>
      <c r="Y57" s="32" cm="1">
        <f t="array" ref="Y57">INDEX($D$4:$D$33,$E57)*INDEX($AK$4:$AK$33,Y$41)*Y19</f>
        <v>0</v>
      </c>
      <c r="Z57" s="32" cm="1">
        <f t="array" ref="Z57">INDEX($D$4:$D$33,$E57)*INDEX($AK$4:$AK$33,Z$41)*Z19</f>
        <v>0</v>
      </c>
      <c r="AA57" s="32" cm="1">
        <f t="array" ref="AA57">INDEX($D$4:$D$33,$E57)*INDEX($AK$4:$AK$33,AA$41)*AA19</f>
        <v>0</v>
      </c>
      <c r="AB57" s="32" cm="1">
        <f t="array" ref="AB57">INDEX($D$4:$D$33,$E57)*INDEX($AK$4:$AK$33,AB$41)*AB19</f>
        <v>0</v>
      </c>
      <c r="AC57" s="32" cm="1">
        <f t="array" ref="AC57">INDEX($D$4:$D$33,$E57)*INDEX($AK$4:$AK$33,AC$41)*AC19</f>
        <v>0</v>
      </c>
      <c r="AD57" s="32" cm="1">
        <f t="array" ref="AD57">INDEX($D$4:$D$33,$E57)*INDEX($AK$4:$AK$33,AD$41)*AD19</f>
        <v>0</v>
      </c>
      <c r="AE57" s="32" cm="1">
        <f t="array" ref="AE57">INDEX($D$4:$D$33,$E57)*INDEX($AK$4:$AK$33,AE$41)*AE19</f>
        <v>0</v>
      </c>
      <c r="AF57" s="32" cm="1">
        <f t="array" ref="AF57">INDEX($D$4:$D$33,$E57)*INDEX($AK$4:$AK$33,AF$41)*AF19</f>
        <v>0</v>
      </c>
      <c r="AG57" s="32" cm="1">
        <f t="array" ref="AG57">INDEX($D$4:$D$33,$E57)*INDEX($AK$4:$AK$33,AG$41)*AG19</f>
        <v>0</v>
      </c>
      <c r="AH57" s="32" cm="1">
        <f t="array" ref="AH57">INDEX($D$4:$D$33,$E57)*INDEX($AK$4:$AK$33,AH$41)*AH19</f>
        <v>0</v>
      </c>
      <c r="AI57" s="32" cm="1">
        <f t="array" ref="AI57">INDEX($D$4:$D$33,$E57)*INDEX($AK$4:$AK$33,AI$41)*AI19</f>
        <v>0</v>
      </c>
      <c r="AS57">
        <v>15</v>
      </c>
      <c r="AT57" s="51">
        <v>0</v>
      </c>
      <c r="AU57" s="51">
        <v>0</v>
      </c>
      <c r="AV57" s="51">
        <v>0.50076684870520105</v>
      </c>
      <c r="AW57" s="51">
        <v>0</v>
      </c>
      <c r="AX57" s="51">
        <v>0</v>
      </c>
      <c r="AY57" s="51">
        <v>0</v>
      </c>
      <c r="AZ57" s="51">
        <v>0</v>
      </c>
      <c r="BA57" s="51">
        <v>0.49167642755993901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0.50992269433253801</v>
      </c>
      <c r="BH57" s="51">
        <v>1.0600560937777599</v>
      </c>
      <c r="BI57" s="51">
        <v>0</v>
      </c>
      <c r="BJ57" s="51">
        <v>0</v>
      </c>
      <c r="BK57" s="51">
        <v>0</v>
      </c>
      <c r="BL57" s="51">
        <v>0.255903998022741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0.259004440976767</v>
      </c>
      <c r="BS57" s="51">
        <v>0.50496303185647395</v>
      </c>
      <c r="BT57" s="51">
        <v>0</v>
      </c>
      <c r="BU57" s="51">
        <v>0</v>
      </c>
      <c r="BV57" s="51">
        <v>0</v>
      </c>
      <c r="BW57" s="51">
        <v>0</v>
      </c>
    </row>
    <row r="58" spans="5:75" x14ac:dyDescent="0.25">
      <c r="E58" s="33">
        <v>17</v>
      </c>
      <c r="F58" s="32" cm="1">
        <f t="array" ref="F58">INDEX($D$4:$D$33,$E58)*INDEX($AK$4:$AK$33,F$41)*F20</f>
        <v>0</v>
      </c>
      <c r="G58" s="32" cm="1">
        <f t="array" ref="G58">INDEX($D$4:$D$33,$E58)*INDEX($AK$4:$AK$33,G$41)*G20</f>
        <v>0</v>
      </c>
      <c r="H58" s="32" cm="1">
        <f t="array" ref="H58">INDEX($D$4:$D$33,$E58)*INDEX($AK$4:$AK$33,H$41)*H20</f>
        <v>0</v>
      </c>
      <c r="I58" s="32" cm="1">
        <f t="array" ref="I58">INDEX($D$4:$D$33,$E58)*INDEX($AK$4:$AK$33,I$41)*I20</f>
        <v>0</v>
      </c>
      <c r="J58" s="32" cm="1">
        <f t="array" ref="J58">INDEX($D$4:$D$33,$E58)*INDEX($AK$4:$AK$33,J$41)*J20</f>
        <v>0</v>
      </c>
      <c r="K58" s="32" cm="1">
        <f t="array" ref="K58">INDEX($D$4:$D$33,$E58)*INDEX($AK$4:$AK$33,K$41)*K20</f>
        <v>0</v>
      </c>
      <c r="L58" s="32" cm="1">
        <f t="array" ref="L58">INDEX($D$4:$D$33,$E58)*INDEX($AK$4:$AK$33,L$41)*L20</f>
        <v>0</v>
      </c>
      <c r="M58" s="32" cm="1">
        <f t="array" ref="M58">INDEX($D$4:$D$33,$E58)*INDEX($AK$4:$AK$33,M$41)*M20</f>
        <v>0</v>
      </c>
      <c r="N58" s="32" cm="1">
        <f t="array" ref="N58">INDEX($D$4:$D$33,$E58)*INDEX($AK$4:$AK$33,N$41)*N20</f>
        <v>0</v>
      </c>
      <c r="O58" s="32" cm="1">
        <f t="array" ref="O58">INDEX($D$4:$D$33,$E58)*INDEX($AK$4:$AK$33,O$41)*O20</f>
        <v>0</v>
      </c>
      <c r="P58" s="32" cm="1">
        <f t="array" ref="P58">INDEX($D$4:$D$33,$E58)*INDEX($AK$4:$AK$33,P$41)*P20</f>
        <v>0</v>
      </c>
      <c r="Q58" s="32" cm="1">
        <f t="array" ref="Q58">INDEX($D$4:$D$33,$E58)*INDEX($AK$4:$AK$33,Q$41)*Q20</f>
        <v>0</v>
      </c>
      <c r="R58" s="32" cm="1">
        <f t="array" ref="R58">INDEX($D$4:$D$33,$E58)*INDEX($AK$4:$AK$33,R$41)*R20</f>
        <v>0</v>
      </c>
      <c r="S58" s="32" cm="1">
        <f t="array" ref="S58">INDEX($D$4:$D$33,$E58)*INDEX($AK$4:$AK$33,S$41)*S20</f>
        <v>0</v>
      </c>
      <c r="T58" s="32" cm="1">
        <f t="array" ref="T58">INDEX($D$4:$D$33,$E58)*INDEX($AK$4:$AK$33,T$41)*T20</f>
        <v>0</v>
      </c>
      <c r="U58" s="32" cm="1">
        <f t="array" ref="U58">INDEX($D$4:$D$33,$E58)*INDEX($AK$4:$AK$33,U$41)*U20</f>
        <v>0</v>
      </c>
      <c r="V58" s="32" cm="1">
        <f t="array" ref="V58">INDEX($D$4:$D$33,$E58)*INDEX($AK$4:$AK$33,V$41)*V20</f>
        <v>0</v>
      </c>
      <c r="W58" s="32" cm="1">
        <f t="array" ref="W58">INDEX($D$4:$D$33,$E58)*INDEX($AK$4:$AK$33,W$41)*W20</f>
        <v>0</v>
      </c>
      <c r="X58" s="32" cm="1">
        <f t="array" ref="X58">INDEX($D$4:$D$33,$E58)*INDEX($AK$4:$AK$33,X$41)*X20</f>
        <v>0</v>
      </c>
      <c r="Y58" s="32" cm="1">
        <f t="array" ref="Y58">INDEX($D$4:$D$33,$E58)*INDEX($AK$4:$AK$33,Y$41)*Y20</f>
        <v>0</v>
      </c>
      <c r="Z58" s="32" cm="1">
        <f t="array" ref="Z58">INDEX($D$4:$D$33,$E58)*INDEX($AK$4:$AK$33,Z$41)*Z20</f>
        <v>0</v>
      </c>
      <c r="AA58" s="32" cm="1">
        <f t="array" ref="AA58">INDEX($D$4:$D$33,$E58)*INDEX($AK$4:$AK$33,AA$41)*AA20</f>
        <v>0</v>
      </c>
      <c r="AB58" s="32" cm="1">
        <f t="array" ref="AB58">INDEX($D$4:$D$33,$E58)*INDEX($AK$4:$AK$33,AB$41)*AB20</f>
        <v>0</v>
      </c>
      <c r="AC58" s="32" cm="1">
        <f t="array" ref="AC58">INDEX($D$4:$D$33,$E58)*INDEX($AK$4:$AK$33,AC$41)*AC20</f>
        <v>0</v>
      </c>
      <c r="AD58" s="32" cm="1">
        <f t="array" ref="AD58">INDEX($D$4:$D$33,$E58)*INDEX($AK$4:$AK$33,AD$41)*AD20</f>
        <v>0</v>
      </c>
      <c r="AE58" s="32" cm="1">
        <f t="array" ref="AE58">INDEX($D$4:$D$33,$E58)*INDEX($AK$4:$AK$33,AE$41)*AE20</f>
        <v>0</v>
      </c>
      <c r="AF58" s="32" cm="1">
        <f t="array" ref="AF58">INDEX($D$4:$D$33,$E58)*INDEX($AK$4:$AK$33,AF$41)*AF20</f>
        <v>0</v>
      </c>
      <c r="AG58" s="32" cm="1">
        <f t="array" ref="AG58">INDEX($D$4:$D$33,$E58)*INDEX($AK$4:$AK$33,AG$41)*AG20</f>
        <v>0</v>
      </c>
      <c r="AH58" s="32" cm="1">
        <f t="array" ref="AH58">INDEX($D$4:$D$33,$E58)*INDEX($AK$4:$AK$33,AH$41)*AH20</f>
        <v>0</v>
      </c>
      <c r="AI58" s="32" cm="1">
        <f t="array" ref="AI58">INDEX($D$4:$D$33,$E58)*INDEX($AK$4:$AK$33,AI$41)*AI20</f>
        <v>0</v>
      </c>
      <c r="AS58">
        <v>16</v>
      </c>
      <c r="AT58" s="51">
        <v>0</v>
      </c>
      <c r="AU58" s="51">
        <v>0.49885356539550901</v>
      </c>
      <c r="AV58" s="51">
        <v>0</v>
      </c>
      <c r="AW58" s="51">
        <v>0.49304756037938402</v>
      </c>
      <c r="AX58" s="51">
        <v>0</v>
      </c>
      <c r="AY58" s="51">
        <v>0.245085643579431</v>
      </c>
      <c r="AZ58" s="51">
        <v>0</v>
      </c>
      <c r="BA58" s="51">
        <v>0</v>
      </c>
      <c r="BB58" s="51">
        <v>0.25292626020222497</v>
      </c>
      <c r="BC58" s="51">
        <v>0</v>
      </c>
      <c r="BD58" s="51">
        <v>0.24552050153997201</v>
      </c>
      <c r="BE58" s="51">
        <v>0</v>
      </c>
      <c r="BF58" s="51">
        <v>0.25398153445313398</v>
      </c>
      <c r="BG58" s="51">
        <v>0</v>
      </c>
      <c r="BH58" s="51">
        <v>0</v>
      </c>
      <c r="BI58" s="51">
        <v>0.92837726772544304</v>
      </c>
      <c r="BJ58" s="51">
        <v>0</v>
      </c>
      <c r="BK58" s="51">
        <v>0</v>
      </c>
      <c r="BL58" s="51">
        <v>0.25628569652137601</v>
      </c>
      <c r="BM58" s="51">
        <v>0</v>
      </c>
      <c r="BN58" s="51">
        <v>0</v>
      </c>
      <c r="BO58" s="51">
        <v>0</v>
      </c>
      <c r="BP58" s="51">
        <v>0.249967281039643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0.24487049937450001</v>
      </c>
    </row>
    <row r="59" spans="5:75" x14ac:dyDescent="0.25">
      <c r="E59" s="33">
        <v>18</v>
      </c>
      <c r="F59" s="32" cm="1">
        <f t="array" ref="F59">INDEX($D$4:$D$33,$E59)*INDEX($AK$4:$AK$33,F$41)*F21</f>
        <v>0</v>
      </c>
      <c r="G59" s="32" cm="1">
        <f t="array" ref="G59">INDEX($D$4:$D$33,$E59)*INDEX($AK$4:$AK$33,G$41)*G21</f>
        <v>0</v>
      </c>
      <c r="H59" s="32" cm="1">
        <f t="array" ref="H59">INDEX($D$4:$D$33,$E59)*INDEX($AK$4:$AK$33,H$41)*H21</f>
        <v>0</v>
      </c>
      <c r="I59" s="32" cm="1">
        <f t="array" ref="I59">INDEX($D$4:$D$33,$E59)*INDEX($AK$4:$AK$33,I$41)*I21</f>
        <v>0</v>
      </c>
      <c r="J59" s="32" cm="1">
        <f t="array" ref="J59">INDEX($D$4:$D$33,$E59)*INDEX($AK$4:$AK$33,J$41)*J21</f>
        <v>0</v>
      </c>
      <c r="K59" s="32" cm="1">
        <f t="array" ref="K59">INDEX($D$4:$D$33,$E59)*INDEX($AK$4:$AK$33,K$41)*K21</f>
        <v>0</v>
      </c>
      <c r="L59" s="32" cm="1">
        <f t="array" ref="L59">INDEX($D$4:$D$33,$E59)*INDEX($AK$4:$AK$33,L$41)*L21</f>
        <v>0</v>
      </c>
      <c r="M59" s="32" cm="1">
        <f t="array" ref="M59">INDEX($D$4:$D$33,$E59)*INDEX($AK$4:$AK$33,M$41)*M21</f>
        <v>0</v>
      </c>
      <c r="N59" s="32" cm="1">
        <f t="array" ref="N59">INDEX($D$4:$D$33,$E59)*INDEX($AK$4:$AK$33,N$41)*N21</f>
        <v>0</v>
      </c>
      <c r="O59" s="32" cm="1">
        <f t="array" ref="O59">INDEX($D$4:$D$33,$E59)*INDEX($AK$4:$AK$33,O$41)*O21</f>
        <v>0</v>
      </c>
      <c r="P59" s="32" cm="1">
        <f t="array" ref="P59">INDEX($D$4:$D$33,$E59)*INDEX($AK$4:$AK$33,P$41)*P21</f>
        <v>0</v>
      </c>
      <c r="Q59" s="32" cm="1">
        <f t="array" ref="Q59">INDEX($D$4:$D$33,$E59)*INDEX($AK$4:$AK$33,Q$41)*Q21</f>
        <v>0</v>
      </c>
      <c r="R59" s="32" cm="1">
        <f t="array" ref="R59">INDEX($D$4:$D$33,$E59)*INDEX($AK$4:$AK$33,R$41)*R21</f>
        <v>0</v>
      </c>
      <c r="S59" s="32" cm="1">
        <f t="array" ref="S59">INDEX($D$4:$D$33,$E59)*INDEX($AK$4:$AK$33,S$41)*S21</f>
        <v>0</v>
      </c>
      <c r="T59" s="32" cm="1">
        <f t="array" ref="T59">INDEX($D$4:$D$33,$E59)*INDEX($AK$4:$AK$33,T$41)*T21</f>
        <v>0</v>
      </c>
      <c r="U59" s="32" cm="1">
        <f t="array" ref="U59">INDEX($D$4:$D$33,$E59)*INDEX($AK$4:$AK$33,U$41)*U21</f>
        <v>0</v>
      </c>
      <c r="V59" s="32" cm="1">
        <f t="array" ref="V59">INDEX($D$4:$D$33,$E59)*INDEX($AK$4:$AK$33,V$41)*V21</f>
        <v>0</v>
      </c>
      <c r="W59" s="32" cm="1">
        <f t="array" ref="W59">INDEX($D$4:$D$33,$E59)*INDEX($AK$4:$AK$33,W$41)*W21</f>
        <v>0</v>
      </c>
      <c r="X59" s="32" cm="1">
        <f t="array" ref="X59">INDEX($D$4:$D$33,$E59)*INDEX($AK$4:$AK$33,X$41)*X21</f>
        <v>0</v>
      </c>
      <c r="Y59" s="32" cm="1">
        <f t="array" ref="Y59">INDEX($D$4:$D$33,$E59)*INDEX($AK$4:$AK$33,Y$41)*Y21</f>
        <v>0</v>
      </c>
      <c r="Z59" s="32" cm="1">
        <f t="array" ref="Z59">INDEX($D$4:$D$33,$E59)*INDEX($AK$4:$AK$33,Z$41)*Z21</f>
        <v>0</v>
      </c>
      <c r="AA59" s="32" cm="1">
        <f t="array" ref="AA59">INDEX($D$4:$D$33,$E59)*INDEX($AK$4:$AK$33,AA$41)*AA21</f>
        <v>0</v>
      </c>
      <c r="AB59" s="32" cm="1">
        <f t="array" ref="AB59">INDEX($D$4:$D$33,$E59)*INDEX($AK$4:$AK$33,AB$41)*AB21</f>
        <v>0</v>
      </c>
      <c r="AC59" s="32" cm="1">
        <f t="array" ref="AC59">INDEX($D$4:$D$33,$E59)*INDEX($AK$4:$AK$33,AC$41)*AC21</f>
        <v>0</v>
      </c>
      <c r="AD59" s="32" cm="1">
        <f t="array" ref="AD59">INDEX($D$4:$D$33,$E59)*INDEX($AK$4:$AK$33,AD$41)*AD21</f>
        <v>0</v>
      </c>
      <c r="AE59" s="32" cm="1">
        <f t="array" ref="AE59">INDEX($D$4:$D$33,$E59)*INDEX($AK$4:$AK$33,AE$41)*AE21</f>
        <v>0</v>
      </c>
      <c r="AF59" s="32" cm="1">
        <f t="array" ref="AF59">INDEX($D$4:$D$33,$E59)*INDEX($AK$4:$AK$33,AF$41)*AF21</f>
        <v>0</v>
      </c>
      <c r="AG59" s="32" cm="1">
        <f t="array" ref="AG59">INDEX($D$4:$D$33,$E59)*INDEX($AK$4:$AK$33,AG$41)*AG21</f>
        <v>0</v>
      </c>
      <c r="AH59" s="32" cm="1">
        <f t="array" ref="AH59">INDEX($D$4:$D$33,$E59)*INDEX($AK$4:$AK$33,AH$41)*AH21</f>
        <v>0</v>
      </c>
      <c r="AI59" s="32" cm="1">
        <f t="array" ref="AI59">INDEX($D$4:$D$33,$E59)*INDEX($AK$4:$AK$33,AI$41)*AI21</f>
        <v>0</v>
      </c>
      <c r="AS59">
        <v>17</v>
      </c>
      <c r="AT59" s="51">
        <v>0</v>
      </c>
      <c r="AU59" s="51">
        <v>0</v>
      </c>
      <c r="AV59" s="51">
        <v>0</v>
      </c>
      <c r="AW59" s="51">
        <v>0</v>
      </c>
      <c r="AX59" s="51">
        <v>0.50600136960448605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0.24194263562471699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0.98435225652525504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0.24760891693950701</v>
      </c>
      <c r="BT59" s="51">
        <v>0</v>
      </c>
      <c r="BU59" s="51">
        <v>0</v>
      </c>
      <c r="BV59" s="51">
        <v>0</v>
      </c>
      <c r="BW59" s="51">
        <v>0</v>
      </c>
    </row>
    <row r="60" spans="5:75" x14ac:dyDescent="0.25">
      <c r="E60" s="33">
        <v>19</v>
      </c>
      <c r="F60" s="32" cm="1">
        <f t="array" ref="F60">INDEX($D$4:$D$33,$E60)*INDEX($AK$4:$AK$33,F$41)*F22</f>
        <v>0</v>
      </c>
      <c r="G60" s="32" cm="1">
        <f t="array" ref="G60">INDEX($D$4:$D$33,$E60)*INDEX($AK$4:$AK$33,G$41)*G22</f>
        <v>0</v>
      </c>
      <c r="H60" s="32" cm="1">
        <f t="array" ref="H60">INDEX($D$4:$D$33,$E60)*INDEX($AK$4:$AK$33,H$41)*H22</f>
        <v>0</v>
      </c>
      <c r="I60" s="32" cm="1">
        <f t="array" ref="I60">INDEX($D$4:$D$33,$E60)*INDEX($AK$4:$AK$33,I$41)*I22</f>
        <v>0</v>
      </c>
      <c r="J60" s="32" cm="1">
        <f t="array" ref="J60">INDEX($D$4:$D$33,$E60)*INDEX($AK$4:$AK$33,J$41)*J22</f>
        <v>0</v>
      </c>
      <c r="K60" s="32" cm="1">
        <f t="array" ref="K60">INDEX($D$4:$D$33,$E60)*INDEX($AK$4:$AK$33,K$41)*K22</f>
        <v>0</v>
      </c>
      <c r="L60" s="32" cm="1">
        <f t="array" ref="L60">INDEX($D$4:$D$33,$E60)*INDEX($AK$4:$AK$33,L$41)*L22</f>
        <v>0</v>
      </c>
      <c r="M60" s="32" cm="1">
        <f t="array" ref="M60">INDEX($D$4:$D$33,$E60)*INDEX($AK$4:$AK$33,M$41)*M22</f>
        <v>0</v>
      </c>
      <c r="N60" s="32" cm="1">
        <f t="array" ref="N60">INDEX($D$4:$D$33,$E60)*INDEX($AK$4:$AK$33,N$41)*N22</f>
        <v>0</v>
      </c>
      <c r="O60" s="32" cm="1">
        <f t="array" ref="O60">INDEX($D$4:$D$33,$E60)*INDEX($AK$4:$AK$33,O$41)*O22</f>
        <v>0</v>
      </c>
      <c r="P60" s="32" cm="1">
        <f t="array" ref="P60">INDEX($D$4:$D$33,$E60)*INDEX($AK$4:$AK$33,P$41)*P22</f>
        <v>0</v>
      </c>
      <c r="Q60" s="32" cm="1">
        <f t="array" ref="Q60">INDEX($D$4:$D$33,$E60)*INDEX($AK$4:$AK$33,Q$41)*Q22</f>
        <v>0</v>
      </c>
      <c r="R60" s="32" cm="1">
        <f t="array" ref="R60">INDEX($D$4:$D$33,$E60)*INDEX($AK$4:$AK$33,R$41)*R22</f>
        <v>0</v>
      </c>
      <c r="S60" s="32" cm="1">
        <f t="array" ref="S60">INDEX($D$4:$D$33,$E60)*INDEX($AK$4:$AK$33,S$41)*S22</f>
        <v>0</v>
      </c>
      <c r="T60" s="32" cm="1">
        <f t="array" ref="T60">INDEX($D$4:$D$33,$E60)*INDEX($AK$4:$AK$33,T$41)*T22</f>
        <v>0</v>
      </c>
      <c r="U60" s="32" cm="1">
        <f t="array" ref="U60">INDEX($D$4:$D$33,$E60)*INDEX($AK$4:$AK$33,U$41)*U22</f>
        <v>0</v>
      </c>
      <c r="V60" s="32" cm="1">
        <f t="array" ref="V60">INDEX($D$4:$D$33,$E60)*INDEX($AK$4:$AK$33,V$41)*V22</f>
        <v>0</v>
      </c>
      <c r="W60" s="32" cm="1">
        <f t="array" ref="W60">INDEX($D$4:$D$33,$E60)*INDEX($AK$4:$AK$33,W$41)*W22</f>
        <v>0</v>
      </c>
      <c r="X60" s="32" cm="1">
        <f t="array" ref="X60">INDEX($D$4:$D$33,$E60)*INDEX($AK$4:$AK$33,X$41)*X22</f>
        <v>0</v>
      </c>
      <c r="Y60" s="32" cm="1">
        <f t="array" ref="Y60">INDEX($D$4:$D$33,$E60)*INDEX($AK$4:$AK$33,Y$41)*Y22</f>
        <v>0</v>
      </c>
      <c r="Z60" s="32" cm="1">
        <f t="array" ref="Z60">INDEX($D$4:$D$33,$E60)*INDEX($AK$4:$AK$33,Z$41)*Z22</f>
        <v>0</v>
      </c>
      <c r="AA60" s="32" cm="1">
        <f t="array" ref="AA60">INDEX($D$4:$D$33,$E60)*INDEX($AK$4:$AK$33,AA$41)*AA22</f>
        <v>0</v>
      </c>
      <c r="AB60" s="32" cm="1">
        <f t="array" ref="AB60">INDEX($D$4:$D$33,$E60)*INDEX($AK$4:$AK$33,AB$41)*AB22</f>
        <v>0</v>
      </c>
      <c r="AC60" s="32" cm="1">
        <f t="array" ref="AC60">INDEX($D$4:$D$33,$E60)*INDEX($AK$4:$AK$33,AC$41)*AC22</f>
        <v>0</v>
      </c>
      <c r="AD60" s="32" cm="1">
        <f t="array" ref="AD60">INDEX($D$4:$D$33,$E60)*INDEX($AK$4:$AK$33,AD$41)*AD22</f>
        <v>0</v>
      </c>
      <c r="AE60" s="32" cm="1">
        <f t="array" ref="AE60">INDEX($D$4:$D$33,$E60)*INDEX($AK$4:$AK$33,AE$41)*AE22</f>
        <v>0</v>
      </c>
      <c r="AF60" s="32" cm="1">
        <f t="array" ref="AF60">INDEX($D$4:$D$33,$E60)*INDEX($AK$4:$AK$33,AF$41)*AF22</f>
        <v>0</v>
      </c>
      <c r="AG60" s="32" cm="1">
        <f t="array" ref="AG60">INDEX($D$4:$D$33,$E60)*INDEX($AK$4:$AK$33,AG$41)*AG22</f>
        <v>0</v>
      </c>
      <c r="AH60" s="32" cm="1">
        <f t="array" ref="AH60">INDEX($D$4:$D$33,$E60)*INDEX($AK$4:$AK$33,AH$41)*AH22</f>
        <v>0</v>
      </c>
      <c r="AI60" s="32" cm="1">
        <f t="array" ref="AI60">INDEX($D$4:$D$33,$E60)*INDEX($AK$4:$AK$33,AI$41)*AI22</f>
        <v>0</v>
      </c>
      <c r="AS60">
        <v>18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0</v>
      </c>
      <c r="AZ60" s="51">
        <v>0.25170528182305402</v>
      </c>
      <c r="BA60" s="51">
        <v>0</v>
      </c>
      <c r="BB60" s="51">
        <v>0.49457953937433602</v>
      </c>
      <c r="BC60" s="51">
        <v>0</v>
      </c>
      <c r="BD60" s="51">
        <v>0.251376473217444</v>
      </c>
      <c r="BE60" s="51">
        <v>0.509237961617101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1.0831471050378101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</row>
    <row r="61" spans="5:75" x14ac:dyDescent="0.25">
      <c r="E61" s="33">
        <v>20</v>
      </c>
      <c r="F61" s="32" cm="1">
        <f t="array" ref="F61">INDEX($D$4:$D$33,$E61)*INDEX($AK$4:$AK$33,F$41)*F23</f>
        <v>0</v>
      </c>
      <c r="G61" s="32" cm="1">
        <f t="array" ref="G61">INDEX($D$4:$D$33,$E61)*INDEX($AK$4:$AK$33,G$41)*G23</f>
        <v>0</v>
      </c>
      <c r="H61" s="32" cm="1">
        <f t="array" ref="H61">INDEX($D$4:$D$33,$E61)*INDEX($AK$4:$AK$33,H$41)*H23</f>
        <v>0</v>
      </c>
      <c r="I61" s="32" cm="1">
        <f t="array" ref="I61">INDEX($D$4:$D$33,$E61)*INDEX($AK$4:$AK$33,I$41)*I23</f>
        <v>0</v>
      </c>
      <c r="J61" s="32" cm="1">
        <f t="array" ref="J61">INDEX($D$4:$D$33,$E61)*INDEX($AK$4:$AK$33,J$41)*J23</f>
        <v>0</v>
      </c>
      <c r="K61" s="32" cm="1">
        <f t="array" ref="K61">INDEX($D$4:$D$33,$E61)*INDEX($AK$4:$AK$33,K$41)*K23</f>
        <v>0</v>
      </c>
      <c r="L61" s="32" cm="1">
        <f t="array" ref="L61">INDEX($D$4:$D$33,$E61)*INDEX($AK$4:$AK$33,L$41)*L23</f>
        <v>0</v>
      </c>
      <c r="M61" s="32" cm="1">
        <f t="array" ref="M61">INDEX($D$4:$D$33,$E61)*INDEX($AK$4:$AK$33,M$41)*M23</f>
        <v>0</v>
      </c>
      <c r="N61" s="32" cm="1">
        <f t="array" ref="N61">INDEX($D$4:$D$33,$E61)*INDEX($AK$4:$AK$33,N$41)*N23</f>
        <v>0</v>
      </c>
      <c r="O61" s="32" cm="1">
        <f t="array" ref="O61">INDEX($D$4:$D$33,$E61)*INDEX($AK$4:$AK$33,O$41)*O23</f>
        <v>0</v>
      </c>
      <c r="P61" s="32" cm="1">
        <f t="array" ref="P61">INDEX($D$4:$D$33,$E61)*INDEX($AK$4:$AK$33,P$41)*P23</f>
        <v>0</v>
      </c>
      <c r="Q61" s="32" cm="1">
        <f t="array" ref="Q61">INDEX($D$4:$D$33,$E61)*INDEX($AK$4:$AK$33,Q$41)*Q23</f>
        <v>0</v>
      </c>
      <c r="R61" s="32" cm="1">
        <f t="array" ref="R61">INDEX($D$4:$D$33,$E61)*INDEX($AK$4:$AK$33,R$41)*R23</f>
        <v>0</v>
      </c>
      <c r="S61" s="32" cm="1">
        <f t="array" ref="S61">INDEX($D$4:$D$33,$E61)*INDEX($AK$4:$AK$33,S$41)*S23</f>
        <v>0</v>
      </c>
      <c r="T61" s="32" cm="1">
        <f t="array" ref="T61">INDEX($D$4:$D$33,$E61)*INDEX($AK$4:$AK$33,T$41)*T23</f>
        <v>0</v>
      </c>
      <c r="U61" s="32" cm="1">
        <f t="array" ref="U61">INDEX($D$4:$D$33,$E61)*INDEX($AK$4:$AK$33,U$41)*U23</f>
        <v>0</v>
      </c>
      <c r="V61" s="32" cm="1">
        <f t="array" ref="V61">INDEX($D$4:$D$33,$E61)*INDEX($AK$4:$AK$33,V$41)*V23</f>
        <v>0</v>
      </c>
      <c r="W61" s="32" cm="1">
        <f t="array" ref="W61">INDEX($D$4:$D$33,$E61)*INDEX($AK$4:$AK$33,W$41)*W23</f>
        <v>0</v>
      </c>
      <c r="X61" s="32" cm="1">
        <f t="array" ref="X61">INDEX($D$4:$D$33,$E61)*INDEX($AK$4:$AK$33,X$41)*X23</f>
        <v>0</v>
      </c>
      <c r="Y61" s="32" cm="1">
        <f t="array" ref="Y61">INDEX($D$4:$D$33,$E61)*INDEX($AK$4:$AK$33,Y$41)*Y23</f>
        <v>0</v>
      </c>
      <c r="Z61" s="32" cm="1">
        <f t="array" ref="Z61">INDEX($D$4:$D$33,$E61)*INDEX($AK$4:$AK$33,Z$41)*Z23</f>
        <v>0</v>
      </c>
      <c r="AA61" s="32" cm="1">
        <f t="array" ref="AA61">INDEX($D$4:$D$33,$E61)*INDEX($AK$4:$AK$33,AA$41)*AA23</f>
        <v>0</v>
      </c>
      <c r="AB61" s="32" cm="1">
        <f t="array" ref="AB61">INDEX($D$4:$D$33,$E61)*INDEX($AK$4:$AK$33,AB$41)*AB23</f>
        <v>0</v>
      </c>
      <c r="AC61" s="32" cm="1">
        <f t="array" ref="AC61">INDEX($D$4:$D$33,$E61)*INDEX($AK$4:$AK$33,AC$41)*AC23</f>
        <v>0</v>
      </c>
      <c r="AD61" s="32" cm="1">
        <f t="array" ref="AD61">INDEX($D$4:$D$33,$E61)*INDEX($AK$4:$AK$33,AD$41)*AD23</f>
        <v>0</v>
      </c>
      <c r="AE61" s="32" cm="1">
        <f t="array" ref="AE61">INDEX($D$4:$D$33,$E61)*INDEX($AK$4:$AK$33,AE$41)*AE23</f>
        <v>0</v>
      </c>
      <c r="AF61" s="32" cm="1">
        <f t="array" ref="AF61">INDEX($D$4:$D$33,$E61)*INDEX($AK$4:$AK$33,AF$41)*AF23</f>
        <v>0</v>
      </c>
      <c r="AG61" s="32" cm="1">
        <f t="array" ref="AG61">INDEX($D$4:$D$33,$E61)*INDEX($AK$4:$AK$33,AG$41)*AG23</f>
        <v>0</v>
      </c>
      <c r="AH61" s="32" cm="1">
        <f t="array" ref="AH61">INDEX($D$4:$D$33,$E61)*INDEX($AK$4:$AK$33,AH$41)*AH23</f>
        <v>0</v>
      </c>
      <c r="AI61" s="32" cm="1">
        <f t="array" ref="AI61">INDEX($D$4:$D$33,$E61)*INDEX($AK$4:$AK$33,AI$41)*AI23</f>
        <v>0</v>
      </c>
      <c r="AS61">
        <v>19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0.24680771453332301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0.25203963882803299</v>
      </c>
      <c r="BH61" s="51">
        <v>0.255903998022741</v>
      </c>
      <c r="BI61" s="51">
        <v>0.25628569652137601</v>
      </c>
      <c r="BJ61" s="51">
        <v>0</v>
      </c>
      <c r="BK61" s="51">
        <v>0</v>
      </c>
      <c r="BL61" s="51">
        <v>1.0584414659119099</v>
      </c>
      <c r="BM61" s="51">
        <v>0.249795287915765</v>
      </c>
      <c r="BN61" s="51">
        <v>0</v>
      </c>
      <c r="BO61" s="51">
        <v>0</v>
      </c>
      <c r="BP61" s="51">
        <v>0</v>
      </c>
      <c r="BQ61" s="51">
        <v>0.24331297458999601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</row>
    <row r="62" spans="5:75" x14ac:dyDescent="0.25">
      <c r="E62" s="33">
        <v>21</v>
      </c>
      <c r="F62" s="32" cm="1">
        <f t="array" ref="F62">INDEX($D$4:$D$33,$E62)*INDEX($AK$4:$AK$33,F$41)*F24</f>
        <v>0</v>
      </c>
      <c r="G62" s="32" cm="1">
        <f t="array" ref="G62">INDEX($D$4:$D$33,$E62)*INDEX($AK$4:$AK$33,G$41)*G24</f>
        <v>0</v>
      </c>
      <c r="H62" s="32" cm="1">
        <f t="array" ref="H62">INDEX($D$4:$D$33,$E62)*INDEX($AK$4:$AK$33,H$41)*H24</f>
        <v>0</v>
      </c>
      <c r="I62" s="32" cm="1">
        <f t="array" ref="I62">INDEX($D$4:$D$33,$E62)*INDEX($AK$4:$AK$33,I$41)*I24</f>
        <v>0</v>
      </c>
      <c r="J62" s="32" cm="1">
        <f t="array" ref="J62">INDEX($D$4:$D$33,$E62)*INDEX($AK$4:$AK$33,J$41)*J24</f>
        <v>0</v>
      </c>
      <c r="K62" s="32" cm="1">
        <f t="array" ref="K62">INDEX($D$4:$D$33,$E62)*INDEX($AK$4:$AK$33,K$41)*K24</f>
        <v>0</v>
      </c>
      <c r="L62" s="32" cm="1">
        <f t="array" ref="L62">INDEX($D$4:$D$33,$E62)*INDEX($AK$4:$AK$33,L$41)*L24</f>
        <v>0</v>
      </c>
      <c r="M62" s="32" cm="1">
        <f t="array" ref="M62">INDEX($D$4:$D$33,$E62)*INDEX($AK$4:$AK$33,M$41)*M24</f>
        <v>0</v>
      </c>
      <c r="N62" s="32" cm="1">
        <f t="array" ref="N62">INDEX($D$4:$D$33,$E62)*INDEX($AK$4:$AK$33,N$41)*N24</f>
        <v>5.0213395085697519E-3</v>
      </c>
      <c r="O62" s="32" cm="1">
        <f t="array" ref="O62">INDEX($D$4:$D$33,$E62)*INDEX($AK$4:$AK$33,O$41)*O24</f>
        <v>0</v>
      </c>
      <c r="P62" s="32" cm="1">
        <f t="array" ref="P62">INDEX($D$4:$D$33,$E62)*INDEX($AK$4:$AK$33,P$41)*P24</f>
        <v>-1.4002263793012157E-2</v>
      </c>
      <c r="Q62" s="32" cm="1">
        <f t="array" ref="Q62">INDEX($D$4:$D$33,$E62)*INDEX($AK$4:$AK$33,Q$41)*Q24</f>
        <v>4.3467046888466358E-3</v>
      </c>
      <c r="R62" s="32" cm="1">
        <f t="array" ref="R62">INDEX($D$4:$D$33,$E62)*INDEX($AK$4:$AK$33,R$41)*R24</f>
        <v>0</v>
      </c>
      <c r="S62" s="32" cm="1">
        <f t="array" ref="S62">INDEX($D$4:$D$33,$E62)*INDEX($AK$4:$AK$33,S$41)*S24</f>
        <v>0</v>
      </c>
      <c r="T62" s="32" cm="1">
        <f t="array" ref="T62">INDEX($D$4:$D$33,$E62)*INDEX($AK$4:$AK$33,T$41)*T24</f>
        <v>3.9585446041308708E-3</v>
      </c>
      <c r="U62" s="32" cm="1">
        <f t="array" ref="U62">INDEX($D$4:$D$33,$E62)*INDEX($AK$4:$AK$33,U$41)*U24</f>
        <v>0</v>
      </c>
      <c r="V62" s="32" cm="1">
        <f t="array" ref="V62">INDEX($D$4:$D$33,$E62)*INDEX($AK$4:$AK$33,V$41)*V24</f>
        <v>-3.5569060656887122E-3</v>
      </c>
      <c r="W62" s="32" cm="1">
        <f t="array" ref="W62">INDEX($D$4:$D$33,$E62)*INDEX($AK$4:$AK$33,W$41)*W24</f>
        <v>0</v>
      </c>
      <c r="X62" s="32" cm="1">
        <f t="array" ref="X62">INDEX($D$4:$D$33,$E62)*INDEX($AK$4:$AK$33,X$41)*X24</f>
        <v>0</v>
      </c>
      <c r="Y62" s="32" cm="1">
        <f t="array" ref="Y62">INDEX($D$4:$D$33,$E62)*INDEX($AK$4:$AK$33,Y$41)*Y24</f>
        <v>0</v>
      </c>
      <c r="Z62" s="32" cm="1">
        <f t="array" ref="Z62">INDEX($D$4:$D$33,$E62)*INDEX($AK$4:$AK$33,Z$41)*Z24</f>
        <v>0</v>
      </c>
      <c r="AA62" s="32" cm="1">
        <f t="array" ref="AA62">INDEX($D$4:$D$33,$E62)*INDEX($AK$4:$AK$33,AA$41)*AA24</f>
        <v>0</v>
      </c>
      <c r="AB62" s="32" cm="1">
        <f t="array" ref="AB62">INDEX($D$4:$D$33,$E62)*INDEX($AK$4:$AK$33,AB$41)*AB24</f>
        <v>0</v>
      </c>
      <c r="AC62" s="32" cm="1">
        <f t="array" ref="AC62">INDEX($D$4:$D$33,$E62)*INDEX($AK$4:$AK$33,AC$41)*AC24</f>
        <v>-9.2064324860784759E-4</v>
      </c>
      <c r="AD62" s="32" cm="1">
        <f t="array" ref="AD62">INDEX($D$4:$D$33,$E62)*INDEX($AK$4:$AK$33,AD$41)*AD24</f>
        <v>0</v>
      </c>
      <c r="AE62" s="32" cm="1">
        <f t="array" ref="AE62">INDEX($D$4:$D$33,$E62)*INDEX($AK$4:$AK$33,AE$41)*AE24</f>
        <v>0</v>
      </c>
      <c r="AF62" s="32" cm="1">
        <f t="array" ref="AF62">INDEX($D$4:$D$33,$E62)*INDEX($AK$4:$AK$33,AF$41)*AF24</f>
        <v>4.3092931897211221E-3</v>
      </c>
      <c r="AG62" s="32" cm="1">
        <f t="array" ref="AG62">INDEX($D$4:$D$33,$E62)*INDEX($AK$4:$AK$33,AG$41)*AG24</f>
        <v>0</v>
      </c>
      <c r="AH62" s="32" cm="1">
        <f t="array" ref="AH62">INDEX($D$4:$D$33,$E62)*INDEX($AK$4:$AK$33,AH$41)*AH24</f>
        <v>1.3838383216034259E-2</v>
      </c>
      <c r="AI62" s="32" cm="1">
        <f t="array" ref="AI62">INDEX($D$4:$D$33,$E62)*INDEX($AK$4:$AK$33,AI$41)*AI24</f>
        <v>1.8164559350080916E-2</v>
      </c>
      <c r="AS62">
        <v>20</v>
      </c>
      <c r="AT62" s="51">
        <v>0</v>
      </c>
      <c r="AU62" s="51">
        <v>0.25507458188556997</v>
      </c>
      <c r="AV62" s="51">
        <v>0</v>
      </c>
      <c r="AW62" s="51">
        <v>0.244476238789823</v>
      </c>
      <c r="AX62" s="51">
        <v>0</v>
      </c>
      <c r="AY62" s="51">
        <v>0</v>
      </c>
      <c r="AZ62" s="51">
        <v>0</v>
      </c>
      <c r="BA62" s="51">
        <v>0.246224300840896</v>
      </c>
      <c r="BB62" s="51">
        <v>0</v>
      </c>
      <c r="BC62" s="51">
        <v>0</v>
      </c>
      <c r="BD62" s="51">
        <v>0.25011914103330302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0.249795287915765</v>
      </c>
      <c r="BM62" s="51">
        <v>1.09189848527858</v>
      </c>
      <c r="BN62" s="51">
        <v>0.50549820929422995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0.25061595106017998</v>
      </c>
      <c r="BW62" s="51">
        <v>0</v>
      </c>
    </row>
    <row r="63" spans="5:75" x14ac:dyDescent="0.25">
      <c r="E63" s="33">
        <v>22</v>
      </c>
      <c r="F63" s="32" cm="1">
        <f t="array" ref="F63">INDEX($D$4:$D$33,$E63)*INDEX($AK$4:$AK$33,F$41)*F25</f>
        <v>0</v>
      </c>
      <c r="G63" s="32" cm="1">
        <f t="array" ref="G63">INDEX($D$4:$D$33,$E63)*INDEX($AK$4:$AK$33,G$41)*G25</f>
        <v>0</v>
      </c>
      <c r="H63" s="32" cm="1">
        <f t="array" ref="H63">INDEX($D$4:$D$33,$E63)*INDEX($AK$4:$AK$33,H$41)*H25</f>
        <v>0</v>
      </c>
      <c r="I63" s="32" cm="1">
        <f t="array" ref="I63">INDEX($D$4:$D$33,$E63)*INDEX($AK$4:$AK$33,I$41)*I25</f>
        <v>0</v>
      </c>
      <c r="J63" s="32" cm="1">
        <f t="array" ref="J63">INDEX($D$4:$D$33,$E63)*INDEX($AK$4:$AK$33,J$41)*J25</f>
        <v>0</v>
      </c>
      <c r="K63" s="32" cm="1">
        <f t="array" ref="K63">INDEX($D$4:$D$33,$E63)*INDEX($AK$4:$AK$33,K$41)*K25</f>
        <v>0</v>
      </c>
      <c r="L63" s="32" cm="1">
        <f t="array" ref="L63">INDEX($D$4:$D$33,$E63)*INDEX($AK$4:$AK$33,L$41)*L25</f>
        <v>0</v>
      </c>
      <c r="M63" s="32" cm="1">
        <f t="array" ref="M63">INDEX($D$4:$D$33,$E63)*INDEX($AK$4:$AK$33,M$41)*M25</f>
        <v>0</v>
      </c>
      <c r="N63" s="32" cm="1">
        <f t="array" ref="N63">INDEX($D$4:$D$33,$E63)*INDEX($AK$4:$AK$33,N$41)*N25</f>
        <v>0</v>
      </c>
      <c r="O63" s="32" cm="1">
        <f t="array" ref="O63">INDEX($D$4:$D$33,$E63)*INDEX($AK$4:$AK$33,O$41)*O25</f>
        <v>0</v>
      </c>
      <c r="P63" s="32" cm="1">
        <f t="array" ref="P63">INDEX($D$4:$D$33,$E63)*INDEX($AK$4:$AK$33,P$41)*P25</f>
        <v>0</v>
      </c>
      <c r="Q63" s="32" cm="1">
        <f t="array" ref="Q63">INDEX($D$4:$D$33,$E63)*INDEX($AK$4:$AK$33,Q$41)*Q25</f>
        <v>0</v>
      </c>
      <c r="R63" s="32" cm="1">
        <f t="array" ref="R63">INDEX($D$4:$D$33,$E63)*INDEX($AK$4:$AK$33,R$41)*R25</f>
        <v>0</v>
      </c>
      <c r="S63" s="32" cm="1">
        <f t="array" ref="S63">INDEX($D$4:$D$33,$E63)*INDEX($AK$4:$AK$33,S$41)*S25</f>
        <v>0</v>
      </c>
      <c r="T63" s="32" cm="1">
        <f t="array" ref="T63">INDEX($D$4:$D$33,$E63)*INDEX($AK$4:$AK$33,T$41)*T25</f>
        <v>0</v>
      </c>
      <c r="U63" s="32" cm="1">
        <f t="array" ref="U63">INDEX($D$4:$D$33,$E63)*INDEX($AK$4:$AK$33,U$41)*U25</f>
        <v>0</v>
      </c>
      <c r="V63" s="32" cm="1">
        <f t="array" ref="V63">INDEX($D$4:$D$33,$E63)*INDEX($AK$4:$AK$33,V$41)*V25</f>
        <v>0</v>
      </c>
      <c r="W63" s="32" cm="1">
        <f t="array" ref="W63">INDEX($D$4:$D$33,$E63)*INDEX($AK$4:$AK$33,W$41)*W25</f>
        <v>0</v>
      </c>
      <c r="X63" s="32" cm="1">
        <f t="array" ref="X63">INDEX($D$4:$D$33,$E63)*INDEX($AK$4:$AK$33,X$41)*X25</f>
        <v>0</v>
      </c>
      <c r="Y63" s="32" cm="1">
        <f t="array" ref="Y63">INDEX($D$4:$D$33,$E63)*INDEX($AK$4:$AK$33,Y$41)*Y25</f>
        <v>0</v>
      </c>
      <c r="Z63" s="32" cm="1">
        <f t="array" ref="Z63">INDEX($D$4:$D$33,$E63)*INDEX($AK$4:$AK$33,Z$41)*Z25</f>
        <v>0</v>
      </c>
      <c r="AA63" s="32" cm="1">
        <f t="array" ref="AA63">INDEX($D$4:$D$33,$E63)*INDEX($AK$4:$AK$33,AA$41)*AA25</f>
        <v>0</v>
      </c>
      <c r="AB63" s="32" cm="1">
        <f t="array" ref="AB63">INDEX($D$4:$D$33,$E63)*INDEX($AK$4:$AK$33,AB$41)*AB25</f>
        <v>0</v>
      </c>
      <c r="AC63" s="32" cm="1">
        <f t="array" ref="AC63">INDEX($D$4:$D$33,$E63)*INDEX($AK$4:$AK$33,AC$41)*AC25</f>
        <v>0</v>
      </c>
      <c r="AD63" s="32" cm="1">
        <f t="array" ref="AD63">INDEX($D$4:$D$33,$E63)*INDEX($AK$4:$AK$33,AD$41)*AD25</f>
        <v>0</v>
      </c>
      <c r="AE63" s="32" cm="1">
        <f t="array" ref="AE63">INDEX($D$4:$D$33,$E63)*INDEX($AK$4:$AK$33,AE$41)*AE25</f>
        <v>0</v>
      </c>
      <c r="AF63" s="32" cm="1">
        <f t="array" ref="AF63">INDEX($D$4:$D$33,$E63)*INDEX($AK$4:$AK$33,AF$41)*AF25</f>
        <v>0</v>
      </c>
      <c r="AG63" s="32" cm="1">
        <f t="array" ref="AG63">INDEX($D$4:$D$33,$E63)*INDEX($AK$4:$AK$33,AG$41)*AG25</f>
        <v>0</v>
      </c>
      <c r="AH63" s="32" cm="1">
        <f t="array" ref="AH63">INDEX($D$4:$D$33,$E63)*INDEX($AK$4:$AK$33,AH$41)*AH25</f>
        <v>0</v>
      </c>
      <c r="AI63" s="32" cm="1">
        <f t="array" ref="AI63">INDEX($D$4:$D$33,$E63)*INDEX($AK$4:$AK$33,AI$41)*AI25</f>
        <v>0</v>
      </c>
      <c r="AS63">
        <v>21</v>
      </c>
      <c r="AT63" s="51">
        <v>0.25781806505071603</v>
      </c>
      <c r="AU63" s="51">
        <v>0</v>
      </c>
      <c r="AV63" s="51">
        <v>0</v>
      </c>
      <c r="AW63" s="51">
        <v>0</v>
      </c>
      <c r="AX63" s="51">
        <v>0.498628276549271</v>
      </c>
      <c r="AY63" s="51">
        <v>0</v>
      </c>
      <c r="AZ63" s="51">
        <v>0</v>
      </c>
      <c r="BA63" s="51">
        <v>0.25359405353707398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0.50549820929422995</v>
      </c>
      <c r="BN63" s="51">
        <v>1.03114813983132</v>
      </c>
      <c r="BO63" s="51">
        <v>0.50826674723003296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</row>
    <row r="64" spans="5:75" x14ac:dyDescent="0.25">
      <c r="E64" s="33">
        <v>23</v>
      </c>
      <c r="F64" s="32" cm="1">
        <f t="array" ref="F64">INDEX($D$4:$D$33,$E64)*INDEX($AK$4:$AK$33,F$41)*F26</f>
        <v>0</v>
      </c>
      <c r="G64" s="32" cm="1">
        <f t="array" ref="G64">INDEX($D$4:$D$33,$E64)*INDEX($AK$4:$AK$33,G$41)*G26</f>
        <v>0</v>
      </c>
      <c r="H64" s="32" cm="1">
        <f t="array" ref="H64">INDEX($D$4:$D$33,$E64)*INDEX($AK$4:$AK$33,H$41)*H26</f>
        <v>0</v>
      </c>
      <c r="I64" s="32" cm="1">
        <f t="array" ref="I64">INDEX($D$4:$D$33,$E64)*INDEX($AK$4:$AK$33,I$41)*I26</f>
        <v>0</v>
      </c>
      <c r="J64" s="32" cm="1">
        <f t="array" ref="J64">INDEX($D$4:$D$33,$E64)*INDEX($AK$4:$AK$33,J$41)*J26</f>
        <v>0</v>
      </c>
      <c r="K64" s="32" cm="1">
        <f t="array" ref="K64">INDEX($D$4:$D$33,$E64)*INDEX($AK$4:$AK$33,K$41)*K26</f>
        <v>0</v>
      </c>
      <c r="L64" s="32" cm="1">
        <f t="array" ref="L64">INDEX($D$4:$D$33,$E64)*INDEX($AK$4:$AK$33,L$41)*L26</f>
        <v>0</v>
      </c>
      <c r="M64" s="32" cm="1">
        <f t="array" ref="M64">INDEX($D$4:$D$33,$E64)*INDEX($AK$4:$AK$33,M$41)*M26</f>
        <v>0</v>
      </c>
      <c r="N64" s="32" cm="1">
        <f t="array" ref="N64">INDEX($D$4:$D$33,$E64)*INDEX($AK$4:$AK$33,N$41)*N26</f>
        <v>5.0704492964022806E-3</v>
      </c>
      <c r="O64" s="32" cm="1">
        <f t="array" ref="O64">INDEX($D$4:$D$33,$E64)*INDEX($AK$4:$AK$33,O$41)*O26</f>
        <v>0</v>
      </c>
      <c r="P64" s="32" cm="1">
        <f t="array" ref="P64">INDEX($D$4:$D$33,$E64)*INDEX($AK$4:$AK$33,P$41)*P26</f>
        <v>6.5284488913165328E-3</v>
      </c>
      <c r="Q64" s="32" cm="1">
        <f t="array" ref="Q64">INDEX($D$4:$D$33,$E64)*INDEX($AK$4:$AK$33,Q$41)*Q26</f>
        <v>7.3487619830627611E-3</v>
      </c>
      <c r="R64" s="32" cm="1">
        <f t="array" ref="R64">INDEX($D$4:$D$33,$E64)*INDEX($AK$4:$AK$33,R$41)*R26</f>
        <v>0</v>
      </c>
      <c r="S64" s="32" cm="1">
        <f t="array" ref="S64">INDEX($D$4:$D$33,$E64)*INDEX($AK$4:$AK$33,S$41)*S26</f>
        <v>0</v>
      </c>
      <c r="T64" s="32" cm="1">
        <f t="array" ref="T64">INDEX($D$4:$D$33,$E64)*INDEX($AK$4:$AK$33,T$41)*T26</f>
        <v>-1.7761750648215347E-3</v>
      </c>
      <c r="U64" s="32" cm="1">
        <f t="array" ref="U64">INDEX($D$4:$D$33,$E64)*INDEX($AK$4:$AK$33,U$41)*U26</f>
        <v>0</v>
      </c>
      <c r="V64" s="32" cm="1">
        <f t="array" ref="V64">INDEX($D$4:$D$33,$E64)*INDEX($AK$4:$AK$33,V$41)*V26</f>
        <v>-4.1331131738164627E-4</v>
      </c>
      <c r="W64" s="32" cm="1">
        <f t="array" ref="W64">INDEX($D$4:$D$33,$E64)*INDEX($AK$4:$AK$33,W$41)*W26</f>
        <v>0</v>
      </c>
      <c r="X64" s="32" cm="1">
        <f t="array" ref="X64">INDEX($D$4:$D$33,$E64)*INDEX($AK$4:$AK$33,X$41)*X26</f>
        <v>0</v>
      </c>
      <c r="Y64" s="32" cm="1">
        <f t="array" ref="Y64">INDEX($D$4:$D$33,$E64)*INDEX($AK$4:$AK$33,Y$41)*Y26</f>
        <v>0</v>
      </c>
      <c r="Z64" s="32" cm="1">
        <f t="array" ref="Z64">INDEX($D$4:$D$33,$E64)*INDEX($AK$4:$AK$33,Z$41)*Z26</f>
        <v>0</v>
      </c>
      <c r="AA64" s="32" cm="1">
        <f t="array" ref="AA64">INDEX($D$4:$D$33,$E64)*INDEX($AK$4:$AK$33,AA$41)*AA26</f>
        <v>0</v>
      </c>
      <c r="AB64" s="32" cm="1">
        <f t="array" ref="AB64">INDEX($D$4:$D$33,$E64)*INDEX($AK$4:$AK$33,AB$41)*AB26</f>
        <v>0</v>
      </c>
      <c r="AC64" s="32" cm="1">
        <f t="array" ref="AC64">INDEX($D$4:$D$33,$E64)*INDEX($AK$4:$AK$33,AC$41)*AC26</f>
        <v>6.2843710242349669E-4</v>
      </c>
      <c r="AD64" s="32" cm="1">
        <f t="array" ref="AD64">INDEX($D$4:$D$33,$E64)*INDEX($AK$4:$AK$33,AD$41)*AD26</f>
        <v>0</v>
      </c>
      <c r="AE64" s="32" cm="1">
        <f t="array" ref="AE64">INDEX($D$4:$D$33,$E64)*INDEX($AK$4:$AK$33,AE$41)*AE26</f>
        <v>0</v>
      </c>
      <c r="AF64" s="32" cm="1">
        <f t="array" ref="AF64">INDEX($D$4:$D$33,$E64)*INDEX($AK$4:$AK$33,AF$41)*AF26</f>
        <v>-8.8879074943962015E-3</v>
      </c>
      <c r="AG64" s="32" cm="1">
        <f t="array" ref="AG64">INDEX($D$4:$D$33,$E64)*INDEX($AK$4:$AK$33,AG$41)*AG26</f>
        <v>0</v>
      </c>
      <c r="AH64" s="32" cm="1">
        <f t="array" ref="AH64">INDEX($D$4:$D$33,$E64)*INDEX($AK$4:$AK$33,AH$41)*AH26</f>
        <v>4.2128224471962053E-4</v>
      </c>
      <c r="AI64" s="32" cm="1">
        <f t="array" ref="AI64">INDEX($D$4:$D$33,$E64)*INDEX($AK$4:$AK$33,AI$41)*AI26</f>
        <v>4.537095784388225E-3</v>
      </c>
      <c r="AS64">
        <v>22</v>
      </c>
      <c r="AT64" s="51">
        <v>0</v>
      </c>
      <c r="AU64" s="51">
        <v>0</v>
      </c>
      <c r="AV64" s="51">
        <v>0.49213305540361202</v>
      </c>
      <c r="AW64" s="51">
        <v>0.25868021368458399</v>
      </c>
      <c r="AX64" s="51">
        <v>0</v>
      </c>
      <c r="AY64" s="51">
        <v>0.49799565298197801</v>
      </c>
      <c r="AZ64" s="51">
        <v>0</v>
      </c>
      <c r="BA64" s="51">
        <v>0</v>
      </c>
      <c r="BB64" s="51">
        <v>0</v>
      </c>
      <c r="BC64" s="51">
        <v>0.24259812416947499</v>
      </c>
      <c r="BD64" s="51">
        <v>0</v>
      </c>
      <c r="BE64" s="51">
        <v>0</v>
      </c>
      <c r="BF64" s="51">
        <v>0.24703319014125999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0.50826674723003296</v>
      </c>
      <c r="BO64" s="51">
        <v>0.90714233571483804</v>
      </c>
      <c r="BP64" s="51">
        <v>0</v>
      </c>
      <c r="BQ64" s="51">
        <v>0</v>
      </c>
      <c r="BR64" s="51">
        <v>0.49901083197004997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</row>
    <row r="65" spans="5:75" x14ac:dyDescent="0.25">
      <c r="E65" s="33">
        <v>24</v>
      </c>
      <c r="F65" s="32" cm="1">
        <f t="array" ref="F65">INDEX($D$4:$D$33,$E65)*INDEX($AK$4:$AK$33,F$41)*F27</f>
        <v>0</v>
      </c>
      <c r="G65" s="32" cm="1">
        <f t="array" ref="G65">INDEX($D$4:$D$33,$E65)*INDEX($AK$4:$AK$33,G$41)*G27</f>
        <v>0</v>
      </c>
      <c r="H65" s="32" cm="1">
        <f t="array" ref="H65">INDEX($D$4:$D$33,$E65)*INDEX($AK$4:$AK$33,H$41)*H27</f>
        <v>0</v>
      </c>
      <c r="I65" s="32" cm="1">
        <f t="array" ref="I65">INDEX($D$4:$D$33,$E65)*INDEX($AK$4:$AK$33,I$41)*I27</f>
        <v>0</v>
      </c>
      <c r="J65" s="32" cm="1">
        <f t="array" ref="J65">INDEX($D$4:$D$33,$E65)*INDEX($AK$4:$AK$33,J$41)*J27</f>
        <v>0</v>
      </c>
      <c r="K65" s="32" cm="1">
        <f t="array" ref="K65">INDEX($D$4:$D$33,$E65)*INDEX($AK$4:$AK$33,K$41)*K27</f>
        <v>0</v>
      </c>
      <c r="L65" s="32" cm="1">
        <f t="array" ref="L65">INDEX($D$4:$D$33,$E65)*INDEX($AK$4:$AK$33,L$41)*L27</f>
        <v>0</v>
      </c>
      <c r="M65" s="32" cm="1">
        <f t="array" ref="M65">INDEX($D$4:$D$33,$E65)*INDEX($AK$4:$AK$33,M$41)*M27</f>
        <v>0</v>
      </c>
      <c r="N65" s="32" cm="1">
        <f t="array" ref="N65">INDEX($D$4:$D$33,$E65)*INDEX($AK$4:$AK$33,N$41)*N27</f>
        <v>6.203956002149147E-4</v>
      </c>
      <c r="O65" s="32" cm="1">
        <f t="array" ref="O65">INDEX($D$4:$D$33,$E65)*INDEX($AK$4:$AK$33,O$41)*O27</f>
        <v>0</v>
      </c>
      <c r="P65" s="32" cm="1">
        <f t="array" ref="P65">INDEX($D$4:$D$33,$E65)*INDEX($AK$4:$AK$33,P$41)*P27</f>
        <v>-1.674688307364436E-4</v>
      </c>
      <c r="Q65" s="32" cm="1">
        <f t="array" ref="Q65">INDEX($D$4:$D$33,$E65)*INDEX($AK$4:$AK$33,Q$41)*Q27</f>
        <v>4.7836047750039794E-4</v>
      </c>
      <c r="R65" s="32" cm="1">
        <f t="array" ref="R65">INDEX($D$4:$D$33,$E65)*INDEX($AK$4:$AK$33,R$41)*R27</f>
        <v>0</v>
      </c>
      <c r="S65" s="32" cm="1">
        <f t="array" ref="S65">INDEX($D$4:$D$33,$E65)*INDEX($AK$4:$AK$33,S$41)*S27</f>
        <v>0</v>
      </c>
      <c r="T65" s="32" cm="1">
        <f t="array" ref="T65">INDEX($D$4:$D$33,$E65)*INDEX($AK$4:$AK$33,T$41)*T27</f>
        <v>-1.1442066641155208E-2</v>
      </c>
      <c r="U65" s="32" cm="1">
        <f t="array" ref="U65">INDEX($D$4:$D$33,$E65)*INDEX($AK$4:$AK$33,U$41)*U27</f>
        <v>0</v>
      </c>
      <c r="V65" s="32" cm="1">
        <f t="array" ref="V65">INDEX($D$4:$D$33,$E65)*INDEX($AK$4:$AK$33,V$41)*V27</f>
        <v>1.5423346847974741E-4</v>
      </c>
      <c r="W65" s="32" cm="1">
        <f t="array" ref="W65">INDEX($D$4:$D$33,$E65)*INDEX($AK$4:$AK$33,W$41)*W27</f>
        <v>0</v>
      </c>
      <c r="X65" s="32" cm="1">
        <f t="array" ref="X65">INDEX($D$4:$D$33,$E65)*INDEX($AK$4:$AK$33,X$41)*X27</f>
        <v>0</v>
      </c>
      <c r="Y65" s="32" cm="1">
        <f t="array" ref="Y65">INDEX($D$4:$D$33,$E65)*INDEX($AK$4:$AK$33,Y$41)*Y27</f>
        <v>0</v>
      </c>
      <c r="Z65" s="32" cm="1">
        <f t="array" ref="Z65">INDEX($D$4:$D$33,$E65)*INDEX($AK$4:$AK$33,Z$41)*Z27</f>
        <v>0</v>
      </c>
      <c r="AA65" s="32" cm="1">
        <f t="array" ref="AA65">INDEX($D$4:$D$33,$E65)*INDEX($AK$4:$AK$33,AA$41)*AA27</f>
        <v>0</v>
      </c>
      <c r="AB65" s="32" cm="1">
        <f t="array" ref="AB65">INDEX($D$4:$D$33,$E65)*INDEX($AK$4:$AK$33,AB$41)*AB27</f>
        <v>0</v>
      </c>
      <c r="AC65" s="32" cm="1">
        <f t="array" ref="AC65">INDEX($D$4:$D$33,$E65)*INDEX($AK$4:$AK$33,AC$41)*AC27</f>
        <v>0</v>
      </c>
      <c r="AD65" s="32" cm="1">
        <f t="array" ref="AD65">INDEX($D$4:$D$33,$E65)*INDEX($AK$4:$AK$33,AD$41)*AD27</f>
        <v>0</v>
      </c>
      <c r="AE65" s="32" cm="1">
        <f t="array" ref="AE65">INDEX($D$4:$D$33,$E65)*INDEX($AK$4:$AK$33,AE$41)*AE27</f>
        <v>0</v>
      </c>
      <c r="AF65" s="32" cm="1">
        <f t="array" ref="AF65">INDEX($D$4:$D$33,$E65)*INDEX($AK$4:$AK$33,AF$41)*AF27</f>
        <v>4.5258065081316386E-3</v>
      </c>
      <c r="AG65" s="32" cm="1">
        <f t="array" ref="AG65">INDEX($D$4:$D$33,$E65)*INDEX($AK$4:$AK$33,AG$41)*AG27</f>
        <v>0</v>
      </c>
      <c r="AH65" s="32" cm="1">
        <f t="array" ref="AH65">INDEX($D$4:$D$33,$E65)*INDEX($AK$4:$AK$33,AH$41)*AH27</f>
        <v>5.4863632884255744E-3</v>
      </c>
      <c r="AI65" s="32" cm="1">
        <f t="array" ref="AI65">INDEX($D$4:$D$33,$E65)*INDEX($AK$4:$AK$33,AI$41)*AI27</f>
        <v>2.0576770583137075E-3</v>
      </c>
      <c r="AS65">
        <v>23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0.25558334460204002</v>
      </c>
      <c r="BD65" s="51">
        <v>0</v>
      </c>
      <c r="BE65" s="51">
        <v>0</v>
      </c>
      <c r="BF65" s="51">
        <v>0.25919487917032202</v>
      </c>
      <c r="BG65" s="51">
        <v>0</v>
      </c>
      <c r="BH65" s="51">
        <v>0</v>
      </c>
      <c r="BI65" s="51">
        <v>0.249967281039643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1.0698258611737601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0.25135643281450398</v>
      </c>
      <c r="BW65" s="51">
        <v>0</v>
      </c>
    </row>
    <row r="66" spans="5:75" x14ac:dyDescent="0.25">
      <c r="E66" s="33">
        <v>25</v>
      </c>
      <c r="F66" s="32" cm="1">
        <f t="array" ref="F66">INDEX($D$4:$D$33,$E66)*INDEX($AK$4:$AK$33,F$41)*F28</f>
        <v>0</v>
      </c>
      <c r="G66" s="32" cm="1">
        <f t="array" ref="G66">INDEX($D$4:$D$33,$E66)*INDEX($AK$4:$AK$33,G$41)*G28</f>
        <v>0</v>
      </c>
      <c r="H66" s="32" cm="1">
        <f t="array" ref="H66">INDEX($D$4:$D$33,$E66)*INDEX($AK$4:$AK$33,H$41)*H28</f>
        <v>0</v>
      </c>
      <c r="I66" s="32" cm="1">
        <f t="array" ref="I66">INDEX($D$4:$D$33,$E66)*INDEX($AK$4:$AK$33,I$41)*I28</f>
        <v>0</v>
      </c>
      <c r="J66" s="32" cm="1">
        <f t="array" ref="J66">INDEX($D$4:$D$33,$E66)*INDEX($AK$4:$AK$33,J$41)*J28</f>
        <v>0</v>
      </c>
      <c r="K66" s="32" cm="1">
        <f t="array" ref="K66">INDEX($D$4:$D$33,$E66)*INDEX($AK$4:$AK$33,K$41)*K28</f>
        <v>0</v>
      </c>
      <c r="L66" s="32" cm="1">
        <f t="array" ref="L66">INDEX($D$4:$D$33,$E66)*INDEX($AK$4:$AK$33,L$41)*L28</f>
        <v>0</v>
      </c>
      <c r="M66" s="32" cm="1">
        <f t="array" ref="M66">INDEX($D$4:$D$33,$E66)*INDEX($AK$4:$AK$33,M$41)*M28</f>
        <v>0</v>
      </c>
      <c r="N66" s="32" cm="1">
        <f t="array" ref="N66">INDEX($D$4:$D$33,$E66)*INDEX($AK$4:$AK$33,N$41)*N28</f>
        <v>0</v>
      </c>
      <c r="O66" s="32" cm="1">
        <f t="array" ref="O66">INDEX($D$4:$D$33,$E66)*INDEX($AK$4:$AK$33,O$41)*O28</f>
        <v>0</v>
      </c>
      <c r="P66" s="32" cm="1">
        <f t="array" ref="P66">INDEX($D$4:$D$33,$E66)*INDEX($AK$4:$AK$33,P$41)*P28</f>
        <v>0</v>
      </c>
      <c r="Q66" s="32" cm="1">
        <f t="array" ref="Q66">INDEX($D$4:$D$33,$E66)*INDEX($AK$4:$AK$33,Q$41)*Q28</f>
        <v>0</v>
      </c>
      <c r="R66" s="32" cm="1">
        <f t="array" ref="R66">INDEX($D$4:$D$33,$E66)*INDEX($AK$4:$AK$33,R$41)*R28</f>
        <v>0</v>
      </c>
      <c r="S66" s="32" cm="1">
        <f t="array" ref="S66">INDEX($D$4:$D$33,$E66)*INDEX($AK$4:$AK$33,S$41)*S28</f>
        <v>0</v>
      </c>
      <c r="T66" s="32" cm="1">
        <f t="array" ref="T66">INDEX($D$4:$D$33,$E66)*INDEX($AK$4:$AK$33,T$41)*T28</f>
        <v>0</v>
      </c>
      <c r="U66" s="32" cm="1">
        <f t="array" ref="U66">INDEX($D$4:$D$33,$E66)*INDEX($AK$4:$AK$33,U$41)*U28</f>
        <v>0</v>
      </c>
      <c r="V66" s="32" cm="1">
        <f t="array" ref="V66">INDEX($D$4:$D$33,$E66)*INDEX($AK$4:$AK$33,V$41)*V28</f>
        <v>0</v>
      </c>
      <c r="W66" s="32" cm="1">
        <f t="array" ref="W66">INDEX($D$4:$D$33,$E66)*INDEX($AK$4:$AK$33,W$41)*W28</f>
        <v>0</v>
      </c>
      <c r="X66" s="32" cm="1">
        <f t="array" ref="X66">INDEX($D$4:$D$33,$E66)*INDEX($AK$4:$AK$33,X$41)*X28</f>
        <v>0</v>
      </c>
      <c r="Y66" s="32" cm="1">
        <f t="array" ref="Y66">INDEX($D$4:$D$33,$E66)*INDEX($AK$4:$AK$33,Y$41)*Y28</f>
        <v>0</v>
      </c>
      <c r="Z66" s="32" cm="1">
        <f t="array" ref="Z66">INDEX($D$4:$D$33,$E66)*INDEX($AK$4:$AK$33,Z$41)*Z28</f>
        <v>0</v>
      </c>
      <c r="AA66" s="32" cm="1">
        <f t="array" ref="AA66">INDEX($D$4:$D$33,$E66)*INDEX($AK$4:$AK$33,AA$41)*AA28</f>
        <v>0</v>
      </c>
      <c r="AB66" s="32" cm="1">
        <f t="array" ref="AB66">INDEX($D$4:$D$33,$E66)*INDEX($AK$4:$AK$33,AB$41)*AB28</f>
        <v>0</v>
      </c>
      <c r="AC66" s="32" cm="1">
        <f t="array" ref="AC66">INDEX($D$4:$D$33,$E66)*INDEX($AK$4:$AK$33,AC$41)*AC28</f>
        <v>0</v>
      </c>
      <c r="AD66" s="32" cm="1">
        <f t="array" ref="AD66">INDEX($D$4:$D$33,$E66)*INDEX($AK$4:$AK$33,AD$41)*AD28</f>
        <v>0</v>
      </c>
      <c r="AE66" s="32" cm="1">
        <f t="array" ref="AE66">INDEX($D$4:$D$33,$E66)*INDEX($AK$4:$AK$33,AE$41)*AE28</f>
        <v>0</v>
      </c>
      <c r="AF66" s="32" cm="1">
        <f t="array" ref="AF66">INDEX($D$4:$D$33,$E66)*INDEX($AK$4:$AK$33,AF$41)*AF28</f>
        <v>0</v>
      </c>
      <c r="AG66" s="32" cm="1">
        <f t="array" ref="AG66">INDEX($D$4:$D$33,$E66)*INDEX($AK$4:$AK$33,AG$41)*AG28</f>
        <v>0</v>
      </c>
      <c r="AH66" s="32" cm="1">
        <f t="array" ref="AH66">INDEX($D$4:$D$33,$E66)*INDEX($AK$4:$AK$33,AH$41)*AH28</f>
        <v>0</v>
      </c>
      <c r="AI66" s="32" cm="1">
        <f t="array" ref="AI66">INDEX($D$4:$D$33,$E66)*INDEX($AK$4:$AK$33,AI$41)*AI28</f>
        <v>0</v>
      </c>
      <c r="AS66">
        <v>24</v>
      </c>
      <c r="AT66" s="51">
        <v>0</v>
      </c>
      <c r="AU66" s="51">
        <v>0.24938781282116401</v>
      </c>
      <c r="AV66" s="51">
        <v>0.240238041390025</v>
      </c>
      <c r="AW66" s="51">
        <v>0.24373745209108799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0.24331297458999601</v>
      </c>
      <c r="BM66" s="51">
        <v>0</v>
      </c>
      <c r="BN66" s="51">
        <v>0</v>
      </c>
      <c r="BO66" s="51">
        <v>0</v>
      </c>
      <c r="BP66" s="51">
        <v>0</v>
      </c>
      <c r="BQ66" s="51">
        <v>1.0867986495515101</v>
      </c>
      <c r="BR66" s="51">
        <v>0</v>
      </c>
      <c r="BS66" s="51">
        <v>0</v>
      </c>
      <c r="BT66" s="51">
        <v>0</v>
      </c>
      <c r="BU66" s="51">
        <v>0</v>
      </c>
      <c r="BV66" s="51">
        <v>0.24510190230918499</v>
      </c>
      <c r="BW66" s="51">
        <v>0</v>
      </c>
    </row>
    <row r="67" spans="5:75" x14ac:dyDescent="0.25">
      <c r="E67" s="33">
        <v>26</v>
      </c>
      <c r="F67" s="32" cm="1">
        <f t="array" ref="F67">INDEX($D$4:$D$33,$E67)*INDEX($AK$4:$AK$33,F$41)*F29</f>
        <v>0</v>
      </c>
      <c r="G67" s="32" cm="1">
        <f t="array" ref="G67">INDEX($D$4:$D$33,$E67)*INDEX($AK$4:$AK$33,G$41)*G29</f>
        <v>0</v>
      </c>
      <c r="H67" s="32" cm="1">
        <f t="array" ref="H67">INDEX($D$4:$D$33,$E67)*INDEX($AK$4:$AK$33,H$41)*H29</f>
        <v>0</v>
      </c>
      <c r="I67" s="32" cm="1">
        <f t="array" ref="I67">INDEX($D$4:$D$33,$E67)*INDEX($AK$4:$AK$33,I$41)*I29</f>
        <v>0</v>
      </c>
      <c r="J67" s="32" cm="1">
        <f t="array" ref="J67">INDEX($D$4:$D$33,$E67)*INDEX($AK$4:$AK$33,J$41)*J29</f>
        <v>0</v>
      </c>
      <c r="K67" s="32" cm="1">
        <f t="array" ref="K67">INDEX($D$4:$D$33,$E67)*INDEX($AK$4:$AK$33,K$41)*K29</f>
        <v>0</v>
      </c>
      <c r="L67" s="32" cm="1">
        <f t="array" ref="L67">INDEX($D$4:$D$33,$E67)*INDEX($AK$4:$AK$33,L$41)*L29</f>
        <v>0</v>
      </c>
      <c r="M67" s="32" cm="1">
        <f t="array" ref="M67">INDEX($D$4:$D$33,$E67)*INDEX($AK$4:$AK$33,M$41)*M29</f>
        <v>0</v>
      </c>
      <c r="N67" s="32" cm="1">
        <f t="array" ref="N67">INDEX($D$4:$D$33,$E67)*INDEX($AK$4:$AK$33,N$41)*N29</f>
        <v>4.9239781756345855E-4</v>
      </c>
      <c r="O67" s="32" cm="1">
        <f t="array" ref="O67">INDEX($D$4:$D$33,$E67)*INDEX($AK$4:$AK$33,O$41)*O29</f>
        <v>0</v>
      </c>
      <c r="P67" s="32" cm="1">
        <f t="array" ref="P67">INDEX($D$4:$D$33,$E67)*INDEX($AK$4:$AK$33,P$41)*P29</f>
        <v>3.0533738333850823E-2</v>
      </c>
      <c r="Q67" s="32" cm="1">
        <f t="array" ref="Q67">INDEX($D$4:$D$33,$E67)*INDEX($AK$4:$AK$33,Q$41)*Q29</f>
        <v>1.2674862189949341E-3</v>
      </c>
      <c r="R67" s="32" cm="1">
        <f t="array" ref="R67">INDEX($D$4:$D$33,$E67)*INDEX($AK$4:$AK$33,R$41)*R29</f>
        <v>0</v>
      </c>
      <c r="S67" s="32" cm="1">
        <f t="array" ref="S67">INDEX($D$4:$D$33,$E67)*INDEX($AK$4:$AK$33,S$41)*S29</f>
        <v>0</v>
      </c>
      <c r="T67" s="32" cm="1">
        <f t="array" ref="T67">INDEX($D$4:$D$33,$E67)*INDEX($AK$4:$AK$33,T$41)*T29</f>
        <v>1.0984788036301832E-3</v>
      </c>
      <c r="U67" s="32" cm="1">
        <f t="array" ref="U67">INDEX($D$4:$D$33,$E67)*INDEX($AK$4:$AK$33,U$41)*U29</f>
        <v>0</v>
      </c>
      <c r="V67" s="32" cm="1">
        <f t="array" ref="V67">INDEX($D$4:$D$33,$E67)*INDEX($AK$4:$AK$33,V$41)*V29</f>
        <v>1.7729550389576003E-3</v>
      </c>
      <c r="W67" s="32" cm="1">
        <f t="array" ref="W67">INDEX($D$4:$D$33,$E67)*INDEX($AK$4:$AK$33,W$41)*W29</f>
        <v>0</v>
      </c>
      <c r="X67" s="32" cm="1">
        <f t="array" ref="X67">INDEX($D$4:$D$33,$E67)*INDEX($AK$4:$AK$33,X$41)*X29</f>
        <v>0</v>
      </c>
      <c r="Y67" s="32" cm="1">
        <f t="array" ref="Y67">INDEX($D$4:$D$33,$E67)*INDEX($AK$4:$AK$33,Y$41)*Y29</f>
        <v>0</v>
      </c>
      <c r="Z67" s="32" cm="1">
        <f t="array" ref="Z67">INDEX($D$4:$D$33,$E67)*INDEX($AK$4:$AK$33,Z$41)*Z29</f>
        <v>0</v>
      </c>
      <c r="AA67" s="32" cm="1">
        <f t="array" ref="AA67">INDEX($D$4:$D$33,$E67)*INDEX($AK$4:$AK$33,AA$41)*AA29</f>
        <v>0</v>
      </c>
      <c r="AB67" s="32" cm="1">
        <f t="array" ref="AB67">INDEX($D$4:$D$33,$E67)*INDEX($AK$4:$AK$33,AB$41)*AB29</f>
        <v>0</v>
      </c>
      <c r="AC67" s="32" cm="1">
        <f t="array" ref="AC67">INDEX($D$4:$D$33,$E67)*INDEX($AK$4:$AK$33,AC$41)*AC29</f>
        <v>-5.7779084946161998E-4</v>
      </c>
      <c r="AD67" s="32" cm="1">
        <f t="array" ref="AD67">INDEX($D$4:$D$33,$E67)*INDEX($AK$4:$AK$33,AD$41)*AD29</f>
        <v>0</v>
      </c>
      <c r="AE67" s="32" cm="1">
        <f t="array" ref="AE67">INDEX($D$4:$D$33,$E67)*INDEX($AK$4:$AK$33,AE$41)*AE29</f>
        <v>0</v>
      </c>
      <c r="AF67" s="32" cm="1">
        <f t="array" ref="AF67">INDEX($D$4:$D$33,$E67)*INDEX($AK$4:$AK$33,AF$41)*AF29</f>
        <v>1.9789495305484691E-3</v>
      </c>
      <c r="AG67" s="32" cm="1">
        <f t="array" ref="AG67">INDEX($D$4:$D$33,$E67)*INDEX($AK$4:$AK$33,AG$41)*AG29</f>
        <v>0</v>
      </c>
      <c r="AH67" s="32" cm="1">
        <f t="array" ref="AH67">INDEX($D$4:$D$33,$E67)*INDEX($AK$4:$AK$33,AH$41)*AH29</f>
        <v>1.3865290845757767E-2</v>
      </c>
      <c r="AI67" s="32" cm="1">
        <f t="array" ref="AI67">INDEX($D$4:$D$33,$E67)*INDEX($AK$4:$AK$33,AI$41)*AI29</f>
        <v>1.5728660217683554E-2</v>
      </c>
      <c r="AS67">
        <v>25</v>
      </c>
      <c r="AT67" s="51">
        <v>0</v>
      </c>
      <c r="AU67" s="51">
        <v>0</v>
      </c>
      <c r="AV67" s="51">
        <v>0</v>
      </c>
      <c r="AW67" s="51">
        <v>0.25661657255792603</v>
      </c>
      <c r="AX67" s="51">
        <v>0</v>
      </c>
      <c r="AY67" s="51">
        <v>0.240688921610058</v>
      </c>
      <c r="AZ67" s="51">
        <v>0.50378429006280001</v>
      </c>
      <c r="BA67" s="51">
        <v>0</v>
      </c>
      <c r="BB67" s="51">
        <v>0</v>
      </c>
      <c r="BC67" s="51">
        <v>0</v>
      </c>
      <c r="BD67" s="51">
        <v>0.245150165082475</v>
      </c>
      <c r="BE67" s="51">
        <v>0</v>
      </c>
      <c r="BF67" s="51">
        <v>0</v>
      </c>
      <c r="BG67" s="51">
        <v>0</v>
      </c>
      <c r="BH67" s="51">
        <v>0.259004440976767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0.49901083197004997</v>
      </c>
      <c r="BP67" s="51">
        <v>0</v>
      </c>
      <c r="BQ67" s="51">
        <v>0</v>
      </c>
      <c r="BR67" s="51">
        <v>1.03574703097155</v>
      </c>
      <c r="BS67" s="51">
        <v>0.25588569081367801</v>
      </c>
      <c r="BT67" s="51">
        <v>0</v>
      </c>
      <c r="BU67" s="51">
        <v>0</v>
      </c>
      <c r="BV67" s="51">
        <v>0</v>
      </c>
      <c r="BW67" s="51">
        <v>0.50651633954979103</v>
      </c>
    </row>
    <row r="68" spans="5:75" x14ac:dyDescent="0.25">
      <c r="E68" s="33">
        <v>27</v>
      </c>
      <c r="F68" s="32" cm="1">
        <f t="array" ref="F68">INDEX($D$4:$D$33,$E68)*INDEX($AK$4:$AK$33,F$41)*F30</f>
        <v>0</v>
      </c>
      <c r="G68" s="32" cm="1">
        <f t="array" ref="G68">INDEX($D$4:$D$33,$E68)*INDEX($AK$4:$AK$33,G$41)*G30</f>
        <v>0</v>
      </c>
      <c r="H68" s="32" cm="1">
        <f t="array" ref="H68">INDEX($D$4:$D$33,$E68)*INDEX($AK$4:$AK$33,H$41)*H30</f>
        <v>0</v>
      </c>
      <c r="I68" s="32" cm="1">
        <f t="array" ref="I68">INDEX($D$4:$D$33,$E68)*INDEX($AK$4:$AK$33,I$41)*I30</f>
        <v>0</v>
      </c>
      <c r="J68" s="32" cm="1">
        <f t="array" ref="J68">INDEX($D$4:$D$33,$E68)*INDEX($AK$4:$AK$33,J$41)*J30</f>
        <v>0</v>
      </c>
      <c r="K68" s="32" cm="1">
        <f t="array" ref="K68">INDEX($D$4:$D$33,$E68)*INDEX($AK$4:$AK$33,K$41)*K30</f>
        <v>0</v>
      </c>
      <c r="L68" s="32" cm="1">
        <f t="array" ref="L68">INDEX($D$4:$D$33,$E68)*INDEX($AK$4:$AK$33,L$41)*L30</f>
        <v>0</v>
      </c>
      <c r="M68" s="32" cm="1">
        <f t="array" ref="M68">INDEX($D$4:$D$33,$E68)*INDEX($AK$4:$AK$33,M$41)*M30</f>
        <v>0</v>
      </c>
      <c r="N68" s="32" cm="1">
        <f t="array" ref="N68">INDEX($D$4:$D$33,$E68)*INDEX($AK$4:$AK$33,N$41)*N30</f>
        <v>-5.6430628717490884E-4</v>
      </c>
      <c r="O68" s="32" cm="1">
        <f t="array" ref="O68">INDEX($D$4:$D$33,$E68)*INDEX($AK$4:$AK$33,O$41)*O30</f>
        <v>0</v>
      </c>
      <c r="P68" s="32" cm="1">
        <f t="array" ref="P68">INDEX($D$4:$D$33,$E68)*INDEX($AK$4:$AK$33,P$41)*P30</f>
        <v>5.9156761944632708E-2</v>
      </c>
      <c r="Q68" s="32" cm="1">
        <f t="array" ref="Q68">INDEX($D$4:$D$33,$E68)*INDEX($AK$4:$AK$33,Q$41)*Q30</f>
        <v>5.7274667641151063E-4</v>
      </c>
      <c r="R68" s="32" cm="1">
        <f t="array" ref="R68">INDEX($D$4:$D$33,$E68)*INDEX($AK$4:$AK$33,R$41)*R30</f>
        <v>0</v>
      </c>
      <c r="S68" s="32" cm="1">
        <f t="array" ref="S68">INDEX($D$4:$D$33,$E68)*INDEX($AK$4:$AK$33,S$41)*S30</f>
        <v>0</v>
      </c>
      <c r="T68" s="32" cm="1">
        <f t="array" ref="T68">INDEX($D$4:$D$33,$E68)*INDEX($AK$4:$AK$33,T$41)*T30</f>
        <v>5.0320126740912519E-2</v>
      </c>
      <c r="U68" s="32" cm="1">
        <f t="array" ref="U68">INDEX($D$4:$D$33,$E68)*INDEX($AK$4:$AK$33,U$41)*U30</f>
        <v>0</v>
      </c>
      <c r="V68" s="32" cm="1">
        <f t="array" ref="V68">INDEX($D$4:$D$33,$E68)*INDEX($AK$4:$AK$33,V$41)*V30</f>
        <v>-2.7989124261884287E-4</v>
      </c>
      <c r="W68" s="32" cm="1">
        <f t="array" ref="W68">INDEX($D$4:$D$33,$E68)*INDEX($AK$4:$AK$33,W$41)*W30</f>
        <v>0</v>
      </c>
      <c r="X68" s="32" cm="1">
        <f t="array" ref="X68">INDEX($D$4:$D$33,$E68)*INDEX($AK$4:$AK$33,X$41)*X30</f>
        <v>0</v>
      </c>
      <c r="Y68" s="32" cm="1">
        <f t="array" ref="Y68">INDEX($D$4:$D$33,$E68)*INDEX($AK$4:$AK$33,Y$41)*Y30</f>
        <v>0</v>
      </c>
      <c r="Z68" s="32" cm="1">
        <f t="array" ref="Z68">INDEX($D$4:$D$33,$E68)*INDEX($AK$4:$AK$33,Z$41)*Z30</f>
        <v>0</v>
      </c>
      <c r="AA68" s="32" cm="1">
        <f t="array" ref="AA68">INDEX($D$4:$D$33,$E68)*INDEX($AK$4:$AK$33,AA$41)*AA30</f>
        <v>0</v>
      </c>
      <c r="AB68" s="32" cm="1">
        <f t="array" ref="AB68">INDEX($D$4:$D$33,$E68)*INDEX($AK$4:$AK$33,AB$41)*AB30</f>
        <v>0</v>
      </c>
      <c r="AC68" s="32" cm="1">
        <f t="array" ref="AC68">INDEX($D$4:$D$33,$E68)*INDEX($AK$4:$AK$33,AC$41)*AC30</f>
        <v>2.0912200948551567E-3</v>
      </c>
      <c r="AD68" s="32" cm="1">
        <f t="array" ref="AD68">INDEX($D$4:$D$33,$E68)*INDEX($AK$4:$AK$33,AD$41)*AD30</f>
        <v>0</v>
      </c>
      <c r="AE68" s="32" cm="1">
        <f t="array" ref="AE68">INDEX($D$4:$D$33,$E68)*INDEX($AK$4:$AK$33,AE$41)*AE30</f>
        <v>0</v>
      </c>
      <c r="AF68" s="32" cm="1">
        <f t="array" ref="AF68">INDEX($D$4:$D$33,$E68)*INDEX($AK$4:$AK$33,AF$41)*AF30</f>
        <v>0</v>
      </c>
      <c r="AG68" s="32" cm="1">
        <f t="array" ref="AG68">INDEX($D$4:$D$33,$E68)*INDEX($AK$4:$AK$33,AG$41)*AG30</f>
        <v>0</v>
      </c>
      <c r="AH68" s="32" cm="1">
        <f t="array" ref="AH68">INDEX($D$4:$D$33,$E68)*INDEX($AK$4:$AK$33,AH$41)*AH30</f>
        <v>3.1703525528420214E-2</v>
      </c>
      <c r="AI68" s="32" cm="1">
        <f t="array" ref="AI68">INDEX($D$4:$D$33,$E68)*INDEX($AK$4:$AK$33,AI$41)*AI30</f>
        <v>5.7267305908706816E-2</v>
      </c>
      <c r="AS68">
        <v>26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0.25531033576298001</v>
      </c>
      <c r="BH68" s="51">
        <v>0.50496303185647395</v>
      </c>
      <c r="BI68" s="51">
        <v>0</v>
      </c>
      <c r="BJ68" s="51">
        <v>0.24760891693950701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0.25588569081367801</v>
      </c>
      <c r="BS68" s="51">
        <v>1.05154802611567</v>
      </c>
      <c r="BT68" s="51">
        <v>0</v>
      </c>
      <c r="BU68" s="51">
        <v>0</v>
      </c>
      <c r="BV68" s="51">
        <v>0</v>
      </c>
      <c r="BW68" s="51">
        <v>0</v>
      </c>
    </row>
    <row r="69" spans="5:75" x14ac:dyDescent="0.25">
      <c r="E69" s="33">
        <v>28</v>
      </c>
      <c r="F69" s="32" cm="1">
        <f t="array" ref="F69">INDEX($D$4:$D$33,$E69)*INDEX($AK$4:$AK$33,F$41)*F31</f>
        <v>0</v>
      </c>
      <c r="G69" s="32" cm="1">
        <f t="array" ref="G69">INDEX($D$4:$D$33,$E69)*INDEX($AK$4:$AK$33,G$41)*G31</f>
        <v>0</v>
      </c>
      <c r="H69" s="32" cm="1">
        <f t="array" ref="H69">INDEX($D$4:$D$33,$E69)*INDEX($AK$4:$AK$33,H$41)*H31</f>
        <v>0</v>
      </c>
      <c r="I69" s="32" cm="1">
        <f t="array" ref="I69">INDEX($D$4:$D$33,$E69)*INDEX($AK$4:$AK$33,I$41)*I31</f>
        <v>0</v>
      </c>
      <c r="J69" s="32" cm="1">
        <f t="array" ref="J69">INDEX($D$4:$D$33,$E69)*INDEX($AK$4:$AK$33,J$41)*J31</f>
        <v>0</v>
      </c>
      <c r="K69" s="32" cm="1">
        <f t="array" ref="K69">INDEX($D$4:$D$33,$E69)*INDEX($AK$4:$AK$33,K$41)*K31</f>
        <v>0</v>
      </c>
      <c r="L69" s="32" cm="1">
        <f t="array" ref="L69">INDEX($D$4:$D$33,$E69)*INDEX($AK$4:$AK$33,L$41)*L31</f>
        <v>0</v>
      </c>
      <c r="M69" s="32" cm="1">
        <f t="array" ref="M69">INDEX($D$4:$D$33,$E69)*INDEX($AK$4:$AK$33,M$41)*M31</f>
        <v>0</v>
      </c>
      <c r="N69" s="32" cm="1">
        <f t="array" ref="N69">INDEX($D$4:$D$33,$E69)*INDEX($AK$4:$AK$33,N$41)*N31</f>
        <v>0</v>
      </c>
      <c r="O69" s="32" cm="1">
        <f t="array" ref="O69">INDEX($D$4:$D$33,$E69)*INDEX($AK$4:$AK$33,O$41)*O31</f>
        <v>0</v>
      </c>
      <c r="P69" s="32" cm="1">
        <f t="array" ref="P69">INDEX($D$4:$D$33,$E69)*INDEX($AK$4:$AK$33,P$41)*P31</f>
        <v>0</v>
      </c>
      <c r="Q69" s="32" cm="1">
        <f t="array" ref="Q69">INDEX($D$4:$D$33,$E69)*INDEX($AK$4:$AK$33,Q$41)*Q31</f>
        <v>0</v>
      </c>
      <c r="R69" s="32" cm="1">
        <f t="array" ref="R69">INDEX($D$4:$D$33,$E69)*INDEX($AK$4:$AK$33,R$41)*R31</f>
        <v>0</v>
      </c>
      <c r="S69" s="32" cm="1">
        <f t="array" ref="S69">INDEX($D$4:$D$33,$E69)*INDEX($AK$4:$AK$33,S$41)*S31</f>
        <v>0</v>
      </c>
      <c r="T69" s="32" cm="1">
        <f t="array" ref="T69">INDEX($D$4:$D$33,$E69)*INDEX($AK$4:$AK$33,T$41)*T31</f>
        <v>0</v>
      </c>
      <c r="U69" s="32" cm="1">
        <f t="array" ref="U69">INDEX($D$4:$D$33,$E69)*INDEX($AK$4:$AK$33,U$41)*U31</f>
        <v>0</v>
      </c>
      <c r="V69" s="32" cm="1">
        <f t="array" ref="V69">INDEX($D$4:$D$33,$E69)*INDEX($AK$4:$AK$33,V$41)*V31</f>
        <v>0</v>
      </c>
      <c r="W69" s="32" cm="1">
        <f t="array" ref="W69">INDEX($D$4:$D$33,$E69)*INDEX($AK$4:$AK$33,W$41)*W31</f>
        <v>0</v>
      </c>
      <c r="X69" s="32" cm="1">
        <f t="array" ref="X69">INDEX($D$4:$D$33,$E69)*INDEX($AK$4:$AK$33,X$41)*X31</f>
        <v>0</v>
      </c>
      <c r="Y69" s="32" cm="1">
        <f t="array" ref="Y69">INDEX($D$4:$D$33,$E69)*INDEX($AK$4:$AK$33,Y$41)*Y31</f>
        <v>0</v>
      </c>
      <c r="Z69" s="32" cm="1">
        <f t="array" ref="Z69">INDEX($D$4:$D$33,$E69)*INDEX($AK$4:$AK$33,Z$41)*Z31</f>
        <v>0</v>
      </c>
      <c r="AA69" s="32" cm="1">
        <f t="array" ref="AA69">INDEX($D$4:$D$33,$E69)*INDEX($AK$4:$AK$33,AA$41)*AA31</f>
        <v>0</v>
      </c>
      <c r="AB69" s="32" cm="1">
        <f t="array" ref="AB69">INDEX($D$4:$D$33,$E69)*INDEX($AK$4:$AK$33,AB$41)*AB31</f>
        <v>0</v>
      </c>
      <c r="AC69" s="32" cm="1">
        <f t="array" ref="AC69">INDEX($D$4:$D$33,$E69)*INDEX($AK$4:$AK$33,AC$41)*AC31</f>
        <v>0</v>
      </c>
      <c r="AD69" s="32" cm="1">
        <f t="array" ref="AD69">INDEX($D$4:$D$33,$E69)*INDEX($AK$4:$AK$33,AD$41)*AD31</f>
        <v>0</v>
      </c>
      <c r="AE69" s="32" cm="1">
        <f t="array" ref="AE69">INDEX($D$4:$D$33,$E69)*INDEX($AK$4:$AK$33,AE$41)*AE31</f>
        <v>0</v>
      </c>
      <c r="AF69" s="32" cm="1">
        <f t="array" ref="AF69">INDEX($D$4:$D$33,$E69)*INDEX($AK$4:$AK$33,AF$41)*AF31</f>
        <v>0</v>
      </c>
      <c r="AG69" s="32" cm="1">
        <f t="array" ref="AG69">INDEX($D$4:$D$33,$E69)*INDEX($AK$4:$AK$33,AG$41)*AG31</f>
        <v>0</v>
      </c>
      <c r="AH69" s="32" cm="1">
        <f t="array" ref="AH69">INDEX($D$4:$D$33,$E69)*INDEX($AK$4:$AK$33,AH$41)*AH31</f>
        <v>0</v>
      </c>
      <c r="AI69" s="32" cm="1">
        <f t="array" ref="AI69">INDEX($D$4:$D$33,$E69)*INDEX($AK$4:$AK$33,AI$41)*AI31</f>
        <v>0</v>
      </c>
      <c r="AS69">
        <v>27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0.249465776978055</v>
      </c>
      <c r="AZ69" s="51">
        <v>0</v>
      </c>
      <c r="BA69" s="51">
        <v>0.245021677159521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1.0486264936249801</v>
      </c>
      <c r="BU69" s="51">
        <v>0</v>
      </c>
      <c r="BV69" s="51">
        <v>0</v>
      </c>
      <c r="BW69" s="51">
        <v>0</v>
      </c>
    </row>
    <row r="70" spans="5:75" x14ac:dyDescent="0.25">
      <c r="E70" s="33">
        <v>29</v>
      </c>
      <c r="F70" s="32" cm="1">
        <f t="array" ref="F70">INDEX($D$4:$D$33,$E70)*INDEX($AK$4:$AK$33,F$41)*F32</f>
        <v>0</v>
      </c>
      <c r="G70" s="32" cm="1">
        <f t="array" ref="G70">INDEX($D$4:$D$33,$E70)*INDEX($AK$4:$AK$33,G$41)*G32</f>
        <v>0</v>
      </c>
      <c r="H70" s="32" cm="1">
        <f t="array" ref="H70">INDEX($D$4:$D$33,$E70)*INDEX($AK$4:$AK$33,H$41)*H32</f>
        <v>0</v>
      </c>
      <c r="I70" s="32" cm="1">
        <f t="array" ref="I70">INDEX($D$4:$D$33,$E70)*INDEX($AK$4:$AK$33,I$41)*I32</f>
        <v>0</v>
      </c>
      <c r="J70" s="32" cm="1">
        <f t="array" ref="J70">INDEX($D$4:$D$33,$E70)*INDEX($AK$4:$AK$33,J$41)*J32</f>
        <v>0</v>
      </c>
      <c r="K70" s="32" cm="1">
        <f t="array" ref="K70">INDEX($D$4:$D$33,$E70)*INDEX($AK$4:$AK$33,K$41)*K32</f>
        <v>0</v>
      </c>
      <c r="L70" s="32" cm="1">
        <f t="array" ref="L70">INDEX($D$4:$D$33,$E70)*INDEX($AK$4:$AK$33,L$41)*L32</f>
        <v>0</v>
      </c>
      <c r="M70" s="32" cm="1">
        <f t="array" ref="M70">INDEX($D$4:$D$33,$E70)*INDEX($AK$4:$AK$33,M$41)*M32</f>
        <v>0</v>
      </c>
      <c r="N70" s="32" cm="1">
        <f t="array" ref="N70">INDEX($D$4:$D$33,$E70)*INDEX($AK$4:$AK$33,N$41)*N32</f>
        <v>0</v>
      </c>
      <c r="O70" s="32" cm="1">
        <f t="array" ref="O70">INDEX($D$4:$D$33,$E70)*INDEX($AK$4:$AK$33,O$41)*O32</f>
        <v>0</v>
      </c>
      <c r="P70" s="32" cm="1">
        <f t="array" ref="P70">INDEX($D$4:$D$33,$E70)*INDEX($AK$4:$AK$33,P$41)*P32</f>
        <v>0</v>
      </c>
      <c r="Q70" s="32" cm="1">
        <f t="array" ref="Q70">INDEX($D$4:$D$33,$E70)*INDEX($AK$4:$AK$33,Q$41)*Q32</f>
        <v>0</v>
      </c>
      <c r="R70" s="32" cm="1">
        <f t="array" ref="R70">INDEX($D$4:$D$33,$E70)*INDEX($AK$4:$AK$33,R$41)*R32</f>
        <v>0</v>
      </c>
      <c r="S70" s="32" cm="1">
        <f t="array" ref="S70">INDEX($D$4:$D$33,$E70)*INDEX($AK$4:$AK$33,S$41)*S32</f>
        <v>0</v>
      </c>
      <c r="T70" s="32" cm="1">
        <f t="array" ref="T70">INDEX($D$4:$D$33,$E70)*INDEX($AK$4:$AK$33,T$41)*T32</f>
        <v>0</v>
      </c>
      <c r="U70" s="32" cm="1">
        <f t="array" ref="U70">INDEX($D$4:$D$33,$E70)*INDEX($AK$4:$AK$33,U$41)*U32</f>
        <v>0</v>
      </c>
      <c r="V70" s="32" cm="1">
        <f t="array" ref="V70">INDEX($D$4:$D$33,$E70)*INDEX($AK$4:$AK$33,V$41)*V32</f>
        <v>0</v>
      </c>
      <c r="W70" s="32" cm="1">
        <f t="array" ref="W70">INDEX($D$4:$D$33,$E70)*INDEX($AK$4:$AK$33,W$41)*W32</f>
        <v>0</v>
      </c>
      <c r="X70" s="32" cm="1">
        <f t="array" ref="X70">INDEX($D$4:$D$33,$E70)*INDEX($AK$4:$AK$33,X$41)*X32</f>
        <v>0</v>
      </c>
      <c r="Y70" s="32" cm="1">
        <f t="array" ref="Y70">INDEX($D$4:$D$33,$E70)*INDEX($AK$4:$AK$33,Y$41)*Y32</f>
        <v>0</v>
      </c>
      <c r="Z70" s="32" cm="1">
        <f t="array" ref="Z70">INDEX($D$4:$D$33,$E70)*INDEX($AK$4:$AK$33,Z$41)*Z32</f>
        <v>0</v>
      </c>
      <c r="AA70" s="32" cm="1">
        <f t="array" ref="AA70">INDEX($D$4:$D$33,$E70)*INDEX($AK$4:$AK$33,AA$41)*AA32</f>
        <v>0</v>
      </c>
      <c r="AB70" s="32" cm="1">
        <f t="array" ref="AB70">INDEX($D$4:$D$33,$E70)*INDEX($AK$4:$AK$33,AB$41)*AB32</f>
        <v>0</v>
      </c>
      <c r="AC70" s="32" cm="1">
        <f t="array" ref="AC70">INDEX($D$4:$D$33,$E70)*INDEX($AK$4:$AK$33,AC$41)*AC32</f>
        <v>0</v>
      </c>
      <c r="AD70" s="32" cm="1">
        <f t="array" ref="AD70">INDEX($D$4:$D$33,$E70)*INDEX($AK$4:$AK$33,AD$41)*AD32</f>
        <v>0</v>
      </c>
      <c r="AE70" s="32" cm="1">
        <f t="array" ref="AE70">INDEX($D$4:$D$33,$E70)*INDEX($AK$4:$AK$33,AE$41)*AE32</f>
        <v>0</v>
      </c>
      <c r="AF70" s="32" cm="1">
        <f t="array" ref="AF70">INDEX($D$4:$D$33,$E70)*INDEX($AK$4:$AK$33,AF$41)*AF32</f>
        <v>0</v>
      </c>
      <c r="AG70" s="32" cm="1">
        <f t="array" ref="AG70">INDEX($D$4:$D$33,$E70)*INDEX($AK$4:$AK$33,AG$41)*AG32</f>
        <v>0</v>
      </c>
      <c r="AH70" s="32" cm="1">
        <f t="array" ref="AH70">INDEX($D$4:$D$33,$E70)*INDEX($AK$4:$AK$33,AH$41)*AH32</f>
        <v>0</v>
      </c>
      <c r="AI70" s="32" cm="1">
        <f t="array" ref="AI70">INDEX($D$4:$D$33,$E70)*INDEX($AK$4:$AK$33,AI$41)*AI32</f>
        <v>0</v>
      </c>
      <c r="AS70">
        <v>28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0.24571678037640701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0.97844540390683399</v>
      </c>
      <c r="BV70" s="51">
        <v>0</v>
      </c>
      <c r="BW70" s="51">
        <v>0</v>
      </c>
    </row>
    <row r="71" spans="5:75" x14ac:dyDescent="0.25">
      <c r="E71" s="33">
        <v>30</v>
      </c>
      <c r="F71" s="32" cm="1">
        <f t="array" ref="F71">INDEX($D$4:$D$33,$E71)*INDEX($AK$4:$AK$33,F$41)*F33</f>
        <v>0</v>
      </c>
      <c r="G71" s="32" cm="1">
        <f t="array" ref="G71">INDEX($D$4:$D$33,$E71)*INDEX($AK$4:$AK$33,G$41)*G33</f>
        <v>0</v>
      </c>
      <c r="H71" s="32" cm="1">
        <f t="array" ref="H71">INDEX($D$4:$D$33,$E71)*INDEX($AK$4:$AK$33,H$41)*H33</f>
        <v>0</v>
      </c>
      <c r="I71" s="32" cm="1">
        <f t="array" ref="I71">INDEX($D$4:$D$33,$E71)*INDEX($AK$4:$AK$33,I$41)*I33</f>
        <v>0</v>
      </c>
      <c r="J71" s="32" cm="1">
        <f t="array" ref="J71">INDEX($D$4:$D$33,$E71)*INDEX($AK$4:$AK$33,J$41)*J33</f>
        <v>0</v>
      </c>
      <c r="K71" s="32" cm="1">
        <f t="array" ref="K71">INDEX($D$4:$D$33,$E71)*INDEX($AK$4:$AK$33,K$41)*K33</f>
        <v>0</v>
      </c>
      <c r="L71" s="32" cm="1">
        <f t="array" ref="L71">INDEX($D$4:$D$33,$E71)*INDEX($AK$4:$AK$33,L$41)*L33</f>
        <v>0</v>
      </c>
      <c r="M71" s="32" cm="1">
        <f t="array" ref="M71">INDEX($D$4:$D$33,$E71)*INDEX($AK$4:$AK$33,M$41)*M33</f>
        <v>0</v>
      </c>
      <c r="N71" s="32" cm="1">
        <f t="array" ref="N71">INDEX($D$4:$D$33,$E71)*INDEX($AK$4:$AK$33,N$41)*N33</f>
        <v>-1.5729584628887902E-3</v>
      </c>
      <c r="O71" s="32" cm="1">
        <f t="array" ref="O71">INDEX($D$4:$D$33,$E71)*INDEX($AK$4:$AK$33,O$41)*O33</f>
        <v>0</v>
      </c>
      <c r="P71" s="32" cm="1">
        <f t="array" ref="P71">INDEX($D$4:$D$33,$E71)*INDEX($AK$4:$AK$33,P$41)*P33</f>
        <v>2.6233128316683008E-2</v>
      </c>
      <c r="Q71" s="32" cm="1">
        <f t="array" ref="Q71">INDEX($D$4:$D$33,$E71)*INDEX($AK$4:$AK$33,Q$41)*Q33</f>
        <v>-7.4522334564425426E-3</v>
      </c>
      <c r="R71" s="32" cm="1">
        <f t="array" ref="R71">INDEX($D$4:$D$33,$E71)*INDEX($AK$4:$AK$33,R$41)*R33</f>
        <v>0</v>
      </c>
      <c r="S71" s="32" cm="1">
        <f t="array" ref="S71">INDEX($D$4:$D$33,$E71)*INDEX($AK$4:$AK$33,S$41)*S33</f>
        <v>0</v>
      </c>
      <c r="T71" s="32" cm="1">
        <f t="array" ref="T71">INDEX($D$4:$D$33,$E71)*INDEX($AK$4:$AK$33,T$41)*T33</f>
        <v>4.3760933145043021E-2</v>
      </c>
      <c r="U71" s="32" cm="1">
        <f t="array" ref="U71">INDEX($D$4:$D$33,$E71)*INDEX($AK$4:$AK$33,U$41)*U33</f>
        <v>0</v>
      </c>
      <c r="V71" s="32" cm="1">
        <f t="array" ref="V71">INDEX($D$4:$D$33,$E71)*INDEX($AK$4:$AK$33,V$41)*V33</f>
        <v>-4.948099094378522E-4</v>
      </c>
      <c r="W71" s="32" cm="1">
        <f t="array" ref="W71">INDEX($D$4:$D$33,$E71)*INDEX($AK$4:$AK$33,W$41)*W33</f>
        <v>0</v>
      </c>
      <c r="X71" s="32" cm="1">
        <f t="array" ref="X71">INDEX($D$4:$D$33,$E71)*INDEX($AK$4:$AK$33,X$41)*X33</f>
        <v>0</v>
      </c>
      <c r="Y71" s="32" cm="1">
        <f t="array" ref="Y71">INDEX($D$4:$D$33,$E71)*INDEX($AK$4:$AK$33,Y$41)*Y33</f>
        <v>0</v>
      </c>
      <c r="Z71" s="32" cm="1">
        <f t="array" ref="Z71">INDEX($D$4:$D$33,$E71)*INDEX($AK$4:$AK$33,Z$41)*Z33</f>
        <v>0</v>
      </c>
      <c r="AA71" s="32" cm="1">
        <f t="array" ref="AA71">INDEX($D$4:$D$33,$E71)*INDEX($AK$4:$AK$33,AA$41)*AA33</f>
        <v>0</v>
      </c>
      <c r="AB71" s="32" cm="1">
        <f t="array" ref="AB71">INDEX($D$4:$D$33,$E71)*INDEX($AK$4:$AK$33,AB$41)*AB33</f>
        <v>0</v>
      </c>
      <c r="AC71" s="32" cm="1">
        <f t="array" ref="AC71">INDEX($D$4:$D$33,$E71)*INDEX($AK$4:$AK$33,AC$41)*AC33</f>
        <v>3.9417079729355231E-4</v>
      </c>
      <c r="AD71" s="32" cm="1">
        <f t="array" ref="AD71">INDEX($D$4:$D$33,$E71)*INDEX($AK$4:$AK$33,AD$41)*AD33</f>
        <v>0</v>
      </c>
      <c r="AE71" s="32" cm="1">
        <f t="array" ref="AE71">INDEX($D$4:$D$33,$E71)*INDEX($AK$4:$AK$33,AE$41)*AE33</f>
        <v>0</v>
      </c>
      <c r="AF71" s="32" cm="1">
        <f t="array" ref="AF71">INDEX($D$4:$D$33,$E71)*INDEX($AK$4:$AK$33,AF$41)*AF33</f>
        <v>2.3741613029325339E-2</v>
      </c>
      <c r="AG71" s="32" cm="1">
        <f t="array" ref="AG71">INDEX($D$4:$D$33,$E71)*INDEX($AK$4:$AK$33,AG$41)*AG33</f>
        <v>0</v>
      </c>
      <c r="AH71" s="32" cm="1">
        <f t="array" ref="AH71">INDEX($D$4:$D$33,$E71)*INDEX($AK$4:$AK$33,AH$41)*AH33</f>
        <v>1.9958159594058684E-2</v>
      </c>
      <c r="AI71" s="32" cm="1">
        <f t="array" ref="AI71">INDEX($D$4:$D$33,$E71)*INDEX($AK$4:$AK$33,AI$41)*AI33</f>
        <v>0</v>
      </c>
      <c r="AS71">
        <v>29</v>
      </c>
      <c r="AT71" s="51">
        <v>0</v>
      </c>
      <c r="AU71" s="51">
        <v>0.25232089352293302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0.25099447216582299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0.25061595106017998</v>
      </c>
      <c r="BN71" s="51">
        <v>0</v>
      </c>
      <c r="BO71" s="51">
        <v>0</v>
      </c>
      <c r="BP71" s="51">
        <v>0.25135643281450398</v>
      </c>
      <c r="BQ71" s="51">
        <v>0.24510190230918499</v>
      </c>
      <c r="BR71" s="51">
        <v>0</v>
      </c>
      <c r="BS71" s="51">
        <v>0</v>
      </c>
      <c r="BT71" s="51">
        <v>0</v>
      </c>
      <c r="BU71" s="51">
        <v>0</v>
      </c>
      <c r="BV71" s="51">
        <v>1.03109557803551</v>
      </c>
      <c r="BW71" s="51">
        <v>0.24763116914186001</v>
      </c>
    </row>
    <row r="72" spans="5:75" x14ac:dyDescent="0.25">
      <c r="AS72">
        <v>30</v>
      </c>
      <c r="AT72" s="51">
        <v>0</v>
      </c>
      <c r="AU72" s="51">
        <v>0.24107900237333199</v>
      </c>
      <c r="AV72" s="51">
        <v>0</v>
      </c>
      <c r="AW72" s="51">
        <v>0</v>
      </c>
      <c r="AX72" s="51">
        <v>0.495259425690803</v>
      </c>
      <c r="AY72" s="51">
        <v>0</v>
      </c>
      <c r="AZ72" s="51">
        <v>0.24277248885657399</v>
      </c>
      <c r="BA72" s="51">
        <v>0</v>
      </c>
      <c r="BB72" s="51">
        <v>0</v>
      </c>
      <c r="BC72" s="51">
        <v>0.24237995363116799</v>
      </c>
      <c r="BD72" s="51">
        <v>0</v>
      </c>
      <c r="BE72" s="51">
        <v>0</v>
      </c>
      <c r="BF72" s="51">
        <v>0</v>
      </c>
      <c r="BG72" s="51">
        <v>0.242985880111181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0.49168871691021798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</row>
    <row r="74" spans="5:75" x14ac:dyDescent="0.25"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</row>
    <row r="75" spans="5:75" x14ac:dyDescent="0.25">
      <c r="E75" s="33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T75" s="42">
        <f>$AQ4</f>
        <v>0</v>
      </c>
      <c r="AU75" s="42">
        <f>$AQ5</f>
        <v>0</v>
      </c>
      <c r="AV75" s="42">
        <f>$AQ6</f>
        <v>0</v>
      </c>
      <c r="AW75" s="42">
        <f>$AQ7</f>
        <v>7.9696217595260008E-3</v>
      </c>
      <c r="AX75" s="42">
        <f>$AQ8</f>
        <v>0</v>
      </c>
      <c r="AY75" s="42">
        <f>$AQ9</f>
        <v>0</v>
      </c>
      <c r="AZ75" s="42">
        <f>$AQ10</f>
        <v>0.1</v>
      </c>
      <c r="BA75" s="42">
        <f>$AQ11</f>
        <v>0</v>
      </c>
      <c r="BB75" s="42">
        <f>$AQ12</f>
        <v>4.6785324247315282E-2</v>
      </c>
      <c r="BC75" s="42">
        <f>$AQ13</f>
        <v>0</v>
      </c>
      <c r="BD75" s="42">
        <f>$AQ14</f>
        <v>9.1537818753176542E-2</v>
      </c>
      <c r="BE75" s="42">
        <f>$AQ15</f>
        <v>3.0301430789396094E-2</v>
      </c>
      <c r="BF75" s="42">
        <f>$AQ16</f>
        <v>0</v>
      </c>
      <c r="BG75" s="42">
        <f>$AQ17</f>
        <v>0</v>
      </c>
      <c r="BH75" s="42">
        <f>$AQ18</f>
        <v>9.7572620690575304E-2</v>
      </c>
      <c r="BI75" s="42">
        <f>$AQ19</f>
        <v>0</v>
      </c>
      <c r="BJ75" s="42">
        <f>$AQ20</f>
        <v>1.51329077203266E-2</v>
      </c>
      <c r="BK75" s="42">
        <f>$AQ21</f>
        <v>0</v>
      </c>
      <c r="BL75" s="42">
        <f>$AQ22</f>
        <v>0</v>
      </c>
      <c r="BM75" s="42">
        <f>$AQ23</f>
        <v>0</v>
      </c>
      <c r="BN75" s="42">
        <f>$AQ24</f>
        <v>5.6854871068946884E-2</v>
      </c>
      <c r="BO75" s="42">
        <f>$AQ25</f>
        <v>0</v>
      </c>
      <c r="BP75" s="42">
        <f>$AQ26</f>
        <v>5.6536001490671887E-2</v>
      </c>
      <c r="BQ75" s="42">
        <f>$AQ27</f>
        <v>4.073982054688953E-2</v>
      </c>
      <c r="BR75" s="42">
        <f>$AQ28</f>
        <v>0</v>
      </c>
      <c r="BS75" s="42">
        <f>$AQ29</f>
        <v>4.4449213690494559E-2</v>
      </c>
      <c r="BT75" s="42">
        <f>$AQ30</f>
        <v>0.14145753436903991</v>
      </c>
      <c r="BU75" s="42">
        <f>$AQ31</f>
        <v>0</v>
      </c>
      <c r="BV75" s="42">
        <f>$AQ32</f>
        <v>7.066283487364157E-2</v>
      </c>
      <c r="BW75" s="42">
        <f>$AQ33</f>
        <v>0.2</v>
      </c>
    </row>
    <row r="76" spans="5:75" x14ac:dyDescent="0.25">
      <c r="E76" s="33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T76">
        <v>1</v>
      </c>
      <c r="AU76">
        <v>2</v>
      </c>
      <c r="AV76">
        <v>3</v>
      </c>
      <c r="AW76">
        <v>4</v>
      </c>
      <c r="AX76">
        <v>5</v>
      </c>
      <c r="AY76">
        <v>6</v>
      </c>
      <c r="AZ76">
        <v>7</v>
      </c>
      <c r="BA76">
        <v>8</v>
      </c>
      <c r="BB76">
        <v>9</v>
      </c>
      <c r="BC76">
        <v>10</v>
      </c>
      <c r="BD76">
        <v>11</v>
      </c>
      <c r="BE76">
        <v>12</v>
      </c>
      <c r="BF76">
        <v>13</v>
      </c>
      <c r="BG76">
        <v>14</v>
      </c>
      <c r="BH76">
        <v>15</v>
      </c>
      <c r="BI76">
        <v>16</v>
      </c>
      <c r="BJ76">
        <v>17</v>
      </c>
      <c r="BK76">
        <v>18</v>
      </c>
      <c r="BL76">
        <v>19</v>
      </c>
      <c r="BM76">
        <v>20</v>
      </c>
      <c r="BN76">
        <v>21</v>
      </c>
      <c r="BO76">
        <v>22</v>
      </c>
      <c r="BP76">
        <v>23</v>
      </c>
      <c r="BQ76">
        <v>24</v>
      </c>
      <c r="BR76">
        <v>25</v>
      </c>
      <c r="BS76">
        <v>26</v>
      </c>
      <c r="BT76">
        <v>27</v>
      </c>
      <c r="BU76">
        <v>28</v>
      </c>
      <c r="BV76">
        <v>29</v>
      </c>
      <c r="BW76">
        <v>30</v>
      </c>
    </row>
    <row r="77" spans="5:75" x14ac:dyDescent="0.25">
      <c r="E77" s="33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R77" s="42">
        <f t="shared" ref="AR77:AR106" si="5">$AQ4</f>
        <v>0</v>
      </c>
      <c r="AS77">
        <v>1</v>
      </c>
      <c r="AT77">
        <f t="shared" ref="AT77:BW77" si="6">AT43*$AR77*AT$75</f>
        <v>0</v>
      </c>
      <c r="AU77">
        <f t="shared" si="6"/>
        <v>0</v>
      </c>
      <c r="AV77">
        <f t="shared" si="6"/>
        <v>0</v>
      </c>
      <c r="AW77">
        <f t="shared" si="6"/>
        <v>0</v>
      </c>
      <c r="AX77">
        <f t="shared" si="6"/>
        <v>0</v>
      </c>
      <c r="AY77">
        <f t="shared" si="6"/>
        <v>0</v>
      </c>
      <c r="AZ77">
        <f t="shared" si="6"/>
        <v>0</v>
      </c>
      <c r="BA77">
        <f t="shared" si="6"/>
        <v>0</v>
      </c>
      <c r="BB77">
        <f t="shared" si="6"/>
        <v>0</v>
      </c>
      <c r="BC77">
        <f t="shared" si="6"/>
        <v>0</v>
      </c>
      <c r="BD77">
        <f t="shared" si="6"/>
        <v>0</v>
      </c>
      <c r="BE77">
        <f t="shared" si="6"/>
        <v>0</v>
      </c>
      <c r="BF77">
        <f t="shared" si="6"/>
        <v>0</v>
      </c>
      <c r="BG77">
        <f t="shared" si="6"/>
        <v>0</v>
      </c>
      <c r="BH77">
        <f t="shared" si="6"/>
        <v>0</v>
      </c>
      <c r="BI77">
        <f t="shared" si="6"/>
        <v>0</v>
      </c>
      <c r="BJ77">
        <f t="shared" si="6"/>
        <v>0</v>
      </c>
      <c r="BK77">
        <f t="shared" si="6"/>
        <v>0</v>
      </c>
      <c r="BL77">
        <f t="shared" si="6"/>
        <v>0</v>
      </c>
      <c r="BM77">
        <f t="shared" si="6"/>
        <v>0</v>
      </c>
      <c r="BN77">
        <f t="shared" si="6"/>
        <v>0</v>
      </c>
      <c r="BO77">
        <f t="shared" si="6"/>
        <v>0</v>
      </c>
      <c r="BP77">
        <f t="shared" si="6"/>
        <v>0</v>
      </c>
      <c r="BQ77">
        <f t="shared" si="6"/>
        <v>0</v>
      </c>
      <c r="BR77">
        <f t="shared" si="6"/>
        <v>0</v>
      </c>
      <c r="BS77">
        <f t="shared" si="6"/>
        <v>0</v>
      </c>
      <c r="BT77">
        <f t="shared" si="6"/>
        <v>0</v>
      </c>
      <c r="BU77">
        <f t="shared" si="6"/>
        <v>0</v>
      </c>
      <c r="BV77">
        <f t="shared" si="6"/>
        <v>0</v>
      </c>
      <c r="BW77">
        <f t="shared" si="6"/>
        <v>0</v>
      </c>
    </row>
    <row r="78" spans="5:75" x14ac:dyDescent="0.25">
      <c r="E78" s="33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R78" s="42">
        <f t="shared" si="5"/>
        <v>0</v>
      </c>
      <c r="AS78">
        <v>2</v>
      </c>
      <c r="AT78">
        <f t="shared" ref="AT78:BW78" si="7">AT44*$AR78*AT$75</f>
        <v>0</v>
      </c>
      <c r="AU78">
        <f t="shared" si="7"/>
        <v>0</v>
      </c>
      <c r="AV78">
        <f t="shared" si="7"/>
        <v>0</v>
      </c>
      <c r="AW78">
        <f t="shared" si="7"/>
        <v>0</v>
      </c>
      <c r="AX78">
        <f t="shared" si="7"/>
        <v>0</v>
      </c>
      <c r="AY78">
        <f t="shared" si="7"/>
        <v>0</v>
      </c>
      <c r="AZ78">
        <f t="shared" si="7"/>
        <v>0</v>
      </c>
      <c r="BA78">
        <f t="shared" si="7"/>
        <v>0</v>
      </c>
      <c r="BB78">
        <f t="shared" si="7"/>
        <v>0</v>
      </c>
      <c r="BC78">
        <f t="shared" si="7"/>
        <v>0</v>
      </c>
      <c r="BD78">
        <f t="shared" si="7"/>
        <v>0</v>
      </c>
      <c r="BE78">
        <f t="shared" si="7"/>
        <v>0</v>
      </c>
      <c r="BF78">
        <f t="shared" si="7"/>
        <v>0</v>
      </c>
      <c r="BG78">
        <f t="shared" si="7"/>
        <v>0</v>
      </c>
      <c r="BH78">
        <f t="shared" si="7"/>
        <v>0</v>
      </c>
      <c r="BI78">
        <f t="shared" si="7"/>
        <v>0</v>
      </c>
      <c r="BJ78">
        <f t="shared" si="7"/>
        <v>0</v>
      </c>
      <c r="BK78">
        <f t="shared" si="7"/>
        <v>0</v>
      </c>
      <c r="BL78">
        <f t="shared" si="7"/>
        <v>0</v>
      </c>
      <c r="BM78">
        <f t="shared" si="7"/>
        <v>0</v>
      </c>
      <c r="BN78">
        <f t="shared" si="7"/>
        <v>0</v>
      </c>
      <c r="BO78">
        <f t="shared" si="7"/>
        <v>0</v>
      </c>
      <c r="BP78">
        <f t="shared" si="7"/>
        <v>0</v>
      </c>
      <c r="BQ78">
        <f t="shared" si="7"/>
        <v>0</v>
      </c>
      <c r="BR78">
        <f t="shared" si="7"/>
        <v>0</v>
      </c>
      <c r="BS78">
        <f t="shared" si="7"/>
        <v>0</v>
      </c>
      <c r="BT78">
        <f t="shared" si="7"/>
        <v>0</v>
      </c>
      <c r="BU78">
        <f t="shared" si="7"/>
        <v>0</v>
      </c>
      <c r="BV78">
        <f t="shared" si="7"/>
        <v>0</v>
      </c>
      <c r="BW78">
        <f t="shared" si="7"/>
        <v>0</v>
      </c>
    </row>
    <row r="79" spans="5:75" x14ac:dyDescent="0.25">
      <c r="E79" s="33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R79" s="42">
        <f t="shared" si="5"/>
        <v>0</v>
      </c>
      <c r="AS79">
        <v>3</v>
      </c>
      <c r="AT79">
        <f t="shared" ref="AT79:BW79" si="8">AT45*$AR79*AT$75</f>
        <v>0</v>
      </c>
      <c r="AU79">
        <f t="shared" si="8"/>
        <v>0</v>
      </c>
      <c r="AV79">
        <f t="shared" si="8"/>
        <v>0</v>
      </c>
      <c r="AW79">
        <f t="shared" si="8"/>
        <v>0</v>
      </c>
      <c r="AX79">
        <f t="shared" si="8"/>
        <v>0</v>
      </c>
      <c r="AY79">
        <f t="shared" si="8"/>
        <v>0</v>
      </c>
      <c r="AZ79">
        <f t="shared" si="8"/>
        <v>0</v>
      </c>
      <c r="BA79">
        <f t="shared" si="8"/>
        <v>0</v>
      </c>
      <c r="BB79">
        <f t="shared" si="8"/>
        <v>0</v>
      </c>
      <c r="BC79">
        <f t="shared" si="8"/>
        <v>0</v>
      </c>
      <c r="BD79">
        <f t="shared" si="8"/>
        <v>0</v>
      </c>
      <c r="BE79">
        <f t="shared" si="8"/>
        <v>0</v>
      </c>
      <c r="BF79">
        <f t="shared" si="8"/>
        <v>0</v>
      </c>
      <c r="BG79">
        <f t="shared" si="8"/>
        <v>0</v>
      </c>
      <c r="BH79">
        <f t="shared" si="8"/>
        <v>0</v>
      </c>
      <c r="BI79">
        <f t="shared" si="8"/>
        <v>0</v>
      </c>
      <c r="BJ79">
        <f t="shared" si="8"/>
        <v>0</v>
      </c>
      <c r="BK79">
        <f t="shared" si="8"/>
        <v>0</v>
      </c>
      <c r="BL79">
        <f t="shared" si="8"/>
        <v>0</v>
      </c>
      <c r="BM79">
        <f t="shared" si="8"/>
        <v>0</v>
      </c>
      <c r="BN79">
        <f t="shared" si="8"/>
        <v>0</v>
      </c>
      <c r="BO79">
        <f t="shared" si="8"/>
        <v>0</v>
      </c>
      <c r="BP79">
        <f t="shared" si="8"/>
        <v>0</v>
      </c>
      <c r="BQ79">
        <f t="shared" si="8"/>
        <v>0</v>
      </c>
      <c r="BR79">
        <f t="shared" si="8"/>
        <v>0</v>
      </c>
      <c r="BS79">
        <f t="shared" si="8"/>
        <v>0</v>
      </c>
      <c r="BT79">
        <f t="shared" si="8"/>
        <v>0</v>
      </c>
      <c r="BU79">
        <f t="shared" si="8"/>
        <v>0</v>
      </c>
      <c r="BV79">
        <f t="shared" si="8"/>
        <v>0</v>
      </c>
      <c r="BW79">
        <f t="shared" si="8"/>
        <v>0</v>
      </c>
    </row>
    <row r="80" spans="5:75" x14ac:dyDescent="0.25">
      <c r="E80" s="33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R80" s="42">
        <f t="shared" si="5"/>
        <v>7.9696217595260008E-3</v>
      </c>
      <c r="AS80">
        <v>4</v>
      </c>
      <c r="AT80">
        <f t="shared" ref="AT80:BW80" si="9">AT46*$AR80*AT$75</f>
        <v>0</v>
      </c>
      <c r="AU80">
        <f t="shared" si="9"/>
        <v>0</v>
      </c>
      <c r="AV80">
        <f t="shared" si="9"/>
        <v>0</v>
      </c>
      <c r="AW80">
        <f t="shared" si="9"/>
        <v>6.8765973824512765E-5</v>
      </c>
      <c r="AX80">
        <f t="shared" si="9"/>
        <v>0</v>
      </c>
      <c r="AY80">
        <f t="shared" si="9"/>
        <v>0</v>
      </c>
      <c r="AZ80">
        <f t="shared" si="9"/>
        <v>0</v>
      </c>
      <c r="BA80">
        <f t="shared" si="9"/>
        <v>0</v>
      </c>
      <c r="BB80">
        <f t="shared" si="9"/>
        <v>0</v>
      </c>
      <c r="BC80">
        <f t="shared" si="9"/>
        <v>0</v>
      </c>
      <c r="BD80">
        <f t="shared" si="9"/>
        <v>0</v>
      </c>
      <c r="BE80">
        <f t="shared" si="9"/>
        <v>0</v>
      </c>
      <c r="BF80">
        <f t="shared" si="9"/>
        <v>0</v>
      </c>
      <c r="BG80">
        <f t="shared" si="9"/>
        <v>0</v>
      </c>
      <c r="BH80">
        <f t="shared" si="9"/>
        <v>0</v>
      </c>
      <c r="BI80">
        <f t="shared" si="9"/>
        <v>0</v>
      </c>
      <c r="BJ80">
        <f t="shared" si="9"/>
        <v>0</v>
      </c>
      <c r="BK80">
        <f t="shared" si="9"/>
        <v>0</v>
      </c>
      <c r="BL80">
        <f t="shared" si="9"/>
        <v>0</v>
      </c>
      <c r="BM80">
        <f t="shared" si="9"/>
        <v>0</v>
      </c>
      <c r="BN80">
        <f t="shared" si="9"/>
        <v>0</v>
      </c>
      <c r="BO80">
        <f t="shared" si="9"/>
        <v>0</v>
      </c>
      <c r="BP80">
        <f t="shared" si="9"/>
        <v>0</v>
      </c>
      <c r="BQ80">
        <f t="shared" si="9"/>
        <v>7.9136910008367918E-5</v>
      </c>
      <c r="BR80">
        <f t="shared" si="9"/>
        <v>0</v>
      </c>
      <c r="BS80">
        <f t="shared" si="9"/>
        <v>0</v>
      </c>
      <c r="BT80">
        <f t="shared" si="9"/>
        <v>0</v>
      </c>
      <c r="BU80">
        <f t="shared" si="9"/>
        <v>0</v>
      </c>
      <c r="BV80">
        <f t="shared" si="9"/>
        <v>0</v>
      </c>
      <c r="BW80">
        <f t="shared" si="9"/>
        <v>0</v>
      </c>
    </row>
    <row r="81" spans="5:75" x14ac:dyDescent="0.25">
      <c r="E81" s="33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R81" s="42">
        <f t="shared" si="5"/>
        <v>0</v>
      </c>
      <c r="AS81">
        <v>5</v>
      </c>
      <c r="AT81">
        <f t="shared" ref="AT81:BW81" si="10">AT47*$AR81*AT$75</f>
        <v>0</v>
      </c>
      <c r="AU81">
        <f t="shared" si="10"/>
        <v>0</v>
      </c>
      <c r="AV81">
        <f t="shared" si="10"/>
        <v>0</v>
      </c>
      <c r="AW81">
        <f t="shared" si="10"/>
        <v>0</v>
      </c>
      <c r="AX81">
        <f t="shared" si="10"/>
        <v>0</v>
      </c>
      <c r="AY81">
        <f t="shared" si="10"/>
        <v>0</v>
      </c>
      <c r="AZ81">
        <f t="shared" si="10"/>
        <v>0</v>
      </c>
      <c r="BA81">
        <f t="shared" si="10"/>
        <v>0</v>
      </c>
      <c r="BB81">
        <f t="shared" si="10"/>
        <v>0</v>
      </c>
      <c r="BC81">
        <f t="shared" si="10"/>
        <v>0</v>
      </c>
      <c r="BD81">
        <f t="shared" si="10"/>
        <v>0</v>
      </c>
      <c r="BE81">
        <f t="shared" si="10"/>
        <v>0</v>
      </c>
      <c r="BF81">
        <f t="shared" si="10"/>
        <v>0</v>
      </c>
      <c r="BG81">
        <f t="shared" si="10"/>
        <v>0</v>
      </c>
      <c r="BH81">
        <f t="shared" si="10"/>
        <v>0</v>
      </c>
      <c r="BI81">
        <f t="shared" si="10"/>
        <v>0</v>
      </c>
      <c r="BJ81">
        <f t="shared" si="10"/>
        <v>0</v>
      </c>
      <c r="BK81">
        <f t="shared" si="10"/>
        <v>0</v>
      </c>
      <c r="BL81">
        <f t="shared" si="10"/>
        <v>0</v>
      </c>
      <c r="BM81">
        <f t="shared" si="10"/>
        <v>0</v>
      </c>
      <c r="BN81">
        <f t="shared" si="10"/>
        <v>0</v>
      </c>
      <c r="BO81">
        <f t="shared" si="10"/>
        <v>0</v>
      </c>
      <c r="BP81">
        <f t="shared" si="10"/>
        <v>0</v>
      </c>
      <c r="BQ81">
        <f t="shared" si="10"/>
        <v>0</v>
      </c>
      <c r="BR81">
        <f t="shared" si="10"/>
        <v>0</v>
      </c>
      <c r="BS81">
        <f t="shared" si="10"/>
        <v>0</v>
      </c>
      <c r="BT81">
        <f t="shared" si="10"/>
        <v>0</v>
      </c>
      <c r="BU81">
        <f t="shared" si="10"/>
        <v>0</v>
      </c>
      <c r="BV81">
        <f t="shared" si="10"/>
        <v>0</v>
      </c>
      <c r="BW81">
        <f t="shared" si="10"/>
        <v>0</v>
      </c>
    </row>
    <row r="82" spans="5:75" x14ac:dyDescent="0.25">
      <c r="E82" s="33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R82" s="42">
        <f t="shared" si="5"/>
        <v>0</v>
      </c>
      <c r="AS82">
        <v>6</v>
      </c>
      <c r="AT82">
        <f t="shared" ref="AT82:BW82" si="11">AT48*$AR82*AT$75</f>
        <v>0</v>
      </c>
      <c r="AU82">
        <f t="shared" si="11"/>
        <v>0</v>
      </c>
      <c r="AV82">
        <f t="shared" si="11"/>
        <v>0</v>
      </c>
      <c r="AW82">
        <f t="shared" si="11"/>
        <v>0</v>
      </c>
      <c r="AX82">
        <f t="shared" si="11"/>
        <v>0</v>
      </c>
      <c r="AY82">
        <f t="shared" si="11"/>
        <v>0</v>
      </c>
      <c r="AZ82">
        <f t="shared" si="11"/>
        <v>0</v>
      </c>
      <c r="BA82">
        <f t="shared" si="11"/>
        <v>0</v>
      </c>
      <c r="BB82">
        <f t="shared" si="11"/>
        <v>0</v>
      </c>
      <c r="BC82">
        <f t="shared" si="11"/>
        <v>0</v>
      </c>
      <c r="BD82">
        <f t="shared" si="11"/>
        <v>0</v>
      </c>
      <c r="BE82">
        <f t="shared" si="11"/>
        <v>0</v>
      </c>
      <c r="BF82">
        <f t="shared" si="11"/>
        <v>0</v>
      </c>
      <c r="BG82">
        <f t="shared" si="11"/>
        <v>0</v>
      </c>
      <c r="BH82">
        <f t="shared" si="11"/>
        <v>0</v>
      </c>
      <c r="BI82">
        <f t="shared" si="11"/>
        <v>0</v>
      </c>
      <c r="BJ82">
        <f t="shared" si="11"/>
        <v>0</v>
      </c>
      <c r="BK82">
        <f t="shared" si="11"/>
        <v>0</v>
      </c>
      <c r="BL82">
        <f t="shared" si="11"/>
        <v>0</v>
      </c>
      <c r="BM82">
        <f t="shared" si="11"/>
        <v>0</v>
      </c>
      <c r="BN82">
        <f t="shared" si="11"/>
        <v>0</v>
      </c>
      <c r="BO82">
        <f t="shared" si="11"/>
        <v>0</v>
      </c>
      <c r="BP82">
        <f t="shared" si="11"/>
        <v>0</v>
      </c>
      <c r="BQ82">
        <f t="shared" si="11"/>
        <v>0</v>
      </c>
      <c r="BR82">
        <f t="shared" si="11"/>
        <v>0</v>
      </c>
      <c r="BS82">
        <f t="shared" si="11"/>
        <v>0</v>
      </c>
      <c r="BT82">
        <f t="shared" si="11"/>
        <v>0</v>
      </c>
      <c r="BU82">
        <f t="shared" si="11"/>
        <v>0</v>
      </c>
      <c r="BV82">
        <f t="shared" si="11"/>
        <v>0</v>
      </c>
      <c r="BW82">
        <f t="shared" si="11"/>
        <v>0</v>
      </c>
    </row>
    <row r="83" spans="5:75" x14ac:dyDescent="0.25">
      <c r="E83" s="33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R83" s="42">
        <f t="shared" si="5"/>
        <v>0.1</v>
      </c>
      <c r="AS83">
        <v>7</v>
      </c>
      <c r="AT83">
        <f t="shared" ref="AT83:BW83" si="12">AT49*$AR83*AT$75</f>
        <v>0</v>
      </c>
      <c r="AU83">
        <f t="shared" si="12"/>
        <v>0</v>
      </c>
      <c r="AV83">
        <f t="shared" si="12"/>
        <v>0</v>
      </c>
      <c r="AW83">
        <f t="shared" si="12"/>
        <v>0</v>
      </c>
      <c r="AX83">
        <f t="shared" si="12"/>
        <v>0</v>
      </c>
      <c r="AY83">
        <f t="shared" si="12"/>
        <v>0</v>
      </c>
      <c r="AZ83">
        <f t="shared" si="12"/>
        <v>9.5569964377341006E-3</v>
      </c>
      <c r="BA83">
        <f t="shared" si="12"/>
        <v>0</v>
      </c>
      <c r="BB83">
        <f t="shared" si="12"/>
        <v>0</v>
      </c>
      <c r="BC83">
        <f t="shared" si="12"/>
        <v>0</v>
      </c>
      <c r="BD83">
        <f t="shared" si="12"/>
        <v>0</v>
      </c>
      <c r="BE83">
        <f t="shared" si="12"/>
        <v>7.5382350264223896E-4</v>
      </c>
      <c r="BF83">
        <f t="shared" si="12"/>
        <v>0</v>
      </c>
      <c r="BG83">
        <f t="shared" si="12"/>
        <v>0</v>
      </c>
      <c r="BH83">
        <f t="shared" si="12"/>
        <v>0</v>
      </c>
      <c r="BI83">
        <f t="shared" si="12"/>
        <v>0</v>
      </c>
      <c r="BJ83">
        <f t="shared" si="12"/>
        <v>0</v>
      </c>
      <c r="BK83">
        <f t="shared" si="12"/>
        <v>0</v>
      </c>
      <c r="BL83">
        <f t="shared" si="12"/>
        <v>0</v>
      </c>
      <c r="BM83">
        <f t="shared" si="12"/>
        <v>0</v>
      </c>
      <c r="BN83">
        <f t="shared" si="12"/>
        <v>0</v>
      </c>
      <c r="BO83">
        <f t="shared" si="12"/>
        <v>0</v>
      </c>
      <c r="BP83">
        <f t="shared" si="12"/>
        <v>0</v>
      </c>
      <c r="BQ83">
        <f t="shared" si="12"/>
        <v>0</v>
      </c>
      <c r="BR83">
        <f t="shared" si="12"/>
        <v>0</v>
      </c>
      <c r="BS83">
        <f t="shared" si="12"/>
        <v>0</v>
      </c>
      <c r="BT83">
        <f t="shared" si="12"/>
        <v>0</v>
      </c>
      <c r="BU83">
        <f t="shared" si="12"/>
        <v>0</v>
      </c>
      <c r="BV83">
        <f t="shared" si="12"/>
        <v>0</v>
      </c>
      <c r="BW83">
        <f t="shared" si="12"/>
        <v>0</v>
      </c>
    </row>
    <row r="84" spans="5:75" x14ac:dyDescent="0.25">
      <c r="E84" s="33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R84" s="42">
        <f t="shared" si="5"/>
        <v>0</v>
      </c>
      <c r="AS84">
        <v>8</v>
      </c>
      <c r="AT84">
        <f t="shared" ref="AT84:BW84" si="13">AT50*$AR84*AT$75</f>
        <v>0</v>
      </c>
      <c r="AU84">
        <f t="shared" si="13"/>
        <v>0</v>
      </c>
      <c r="AV84">
        <f t="shared" si="13"/>
        <v>0</v>
      </c>
      <c r="AW84">
        <f t="shared" si="13"/>
        <v>0</v>
      </c>
      <c r="AX84">
        <f t="shared" si="13"/>
        <v>0</v>
      </c>
      <c r="AY84">
        <f t="shared" si="13"/>
        <v>0</v>
      </c>
      <c r="AZ84">
        <f t="shared" si="13"/>
        <v>0</v>
      </c>
      <c r="BA84">
        <f t="shared" si="13"/>
        <v>0</v>
      </c>
      <c r="BB84">
        <f t="shared" si="13"/>
        <v>0</v>
      </c>
      <c r="BC84">
        <f t="shared" si="13"/>
        <v>0</v>
      </c>
      <c r="BD84">
        <f t="shared" si="13"/>
        <v>0</v>
      </c>
      <c r="BE84">
        <f t="shared" si="13"/>
        <v>0</v>
      </c>
      <c r="BF84">
        <f t="shared" si="13"/>
        <v>0</v>
      </c>
      <c r="BG84">
        <f t="shared" si="13"/>
        <v>0</v>
      </c>
      <c r="BH84">
        <f t="shared" si="13"/>
        <v>0</v>
      </c>
      <c r="BI84">
        <f t="shared" si="13"/>
        <v>0</v>
      </c>
      <c r="BJ84">
        <f t="shared" si="13"/>
        <v>0</v>
      </c>
      <c r="BK84">
        <f t="shared" si="13"/>
        <v>0</v>
      </c>
      <c r="BL84">
        <f t="shared" si="13"/>
        <v>0</v>
      </c>
      <c r="BM84">
        <f t="shared" si="13"/>
        <v>0</v>
      </c>
      <c r="BN84">
        <f t="shared" si="13"/>
        <v>0</v>
      </c>
      <c r="BO84">
        <f t="shared" si="13"/>
        <v>0</v>
      </c>
      <c r="BP84">
        <f t="shared" si="13"/>
        <v>0</v>
      </c>
      <c r="BQ84">
        <f t="shared" si="13"/>
        <v>0</v>
      </c>
      <c r="BR84">
        <f t="shared" si="13"/>
        <v>0</v>
      </c>
      <c r="BS84">
        <f t="shared" si="13"/>
        <v>0</v>
      </c>
      <c r="BT84">
        <f t="shared" si="13"/>
        <v>0</v>
      </c>
      <c r="BU84">
        <f t="shared" si="13"/>
        <v>0</v>
      </c>
      <c r="BV84">
        <f t="shared" si="13"/>
        <v>0</v>
      </c>
      <c r="BW84">
        <f t="shared" si="13"/>
        <v>0</v>
      </c>
    </row>
    <row r="85" spans="5:75" x14ac:dyDescent="0.25">
      <c r="E85" s="33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R85" s="42">
        <f t="shared" si="5"/>
        <v>4.6785324247315282E-2</v>
      </c>
      <c r="AS85">
        <v>9</v>
      </c>
      <c r="AT85">
        <f t="shared" ref="AT85:BW85" si="14">AT51*$AR85*AT$75</f>
        <v>0</v>
      </c>
      <c r="AU85">
        <f t="shared" si="14"/>
        <v>0</v>
      </c>
      <c r="AV85">
        <f t="shared" si="14"/>
        <v>0</v>
      </c>
      <c r="AW85">
        <f t="shared" si="14"/>
        <v>0</v>
      </c>
      <c r="AX85">
        <f t="shared" si="14"/>
        <v>0</v>
      </c>
      <c r="AY85">
        <f t="shared" si="14"/>
        <v>0</v>
      </c>
      <c r="AZ85">
        <f t="shared" si="14"/>
        <v>0</v>
      </c>
      <c r="BA85">
        <f t="shared" si="14"/>
        <v>0</v>
      </c>
      <c r="BB85">
        <f t="shared" si="14"/>
        <v>2.3891508479879147E-3</v>
      </c>
      <c r="BC85">
        <f t="shared" si="14"/>
        <v>0</v>
      </c>
      <c r="BD85">
        <f t="shared" si="14"/>
        <v>1.0885892604017417E-3</v>
      </c>
      <c r="BE85">
        <f t="shared" si="14"/>
        <v>0</v>
      </c>
      <c r="BF85">
        <f t="shared" si="14"/>
        <v>0</v>
      </c>
      <c r="BG85">
        <f t="shared" si="14"/>
        <v>0</v>
      </c>
      <c r="BH85">
        <f t="shared" si="14"/>
        <v>0</v>
      </c>
      <c r="BI85">
        <f t="shared" si="14"/>
        <v>0</v>
      </c>
      <c r="BJ85">
        <f t="shared" si="14"/>
        <v>0</v>
      </c>
      <c r="BK85">
        <f t="shared" si="14"/>
        <v>0</v>
      </c>
      <c r="BL85">
        <f t="shared" si="14"/>
        <v>0</v>
      </c>
      <c r="BM85">
        <f t="shared" si="14"/>
        <v>0</v>
      </c>
      <c r="BN85">
        <f t="shared" si="14"/>
        <v>0</v>
      </c>
      <c r="BO85">
        <f t="shared" si="14"/>
        <v>0</v>
      </c>
      <c r="BP85">
        <f t="shared" si="14"/>
        <v>0</v>
      </c>
      <c r="BQ85">
        <f t="shared" si="14"/>
        <v>0</v>
      </c>
      <c r="BR85">
        <f t="shared" si="14"/>
        <v>0</v>
      </c>
      <c r="BS85">
        <f t="shared" si="14"/>
        <v>0</v>
      </c>
      <c r="BT85">
        <f t="shared" si="14"/>
        <v>0</v>
      </c>
      <c r="BU85">
        <f t="shared" si="14"/>
        <v>0</v>
      </c>
      <c r="BV85">
        <f t="shared" si="14"/>
        <v>8.2978361916188881E-4</v>
      </c>
      <c r="BW85">
        <f t="shared" si="14"/>
        <v>2.3446059403515653E-3</v>
      </c>
    </row>
    <row r="86" spans="5:75" x14ac:dyDescent="0.25">
      <c r="E86" s="33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R86" s="42">
        <f t="shared" si="5"/>
        <v>0</v>
      </c>
      <c r="AS86">
        <v>10</v>
      </c>
      <c r="AT86">
        <f t="shared" ref="AT86:BW86" si="15">AT52*$AR86*AT$75</f>
        <v>0</v>
      </c>
      <c r="AU86">
        <f t="shared" si="15"/>
        <v>0</v>
      </c>
      <c r="AV86">
        <f t="shared" si="15"/>
        <v>0</v>
      </c>
      <c r="AW86">
        <f t="shared" si="15"/>
        <v>0</v>
      </c>
      <c r="AX86">
        <f t="shared" si="15"/>
        <v>0</v>
      </c>
      <c r="AY86">
        <f t="shared" si="15"/>
        <v>0</v>
      </c>
      <c r="AZ86">
        <f t="shared" si="15"/>
        <v>0</v>
      </c>
      <c r="BA86">
        <f t="shared" si="15"/>
        <v>0</v>
      </c>
      <c r="BB86">
        <f t="shared" si="15"/>
        <v>0</v>
      </c>
      <c r="BC86">
        <f t="shared" si="15"/>
        <v>0</v>
      </c>
      <c r="BD86">
        <f t="shared" si="15"/>
        <v>0</v>
      </c>
      <c r="BE86">
        <f t="shared" si="15"/>
        <v>0</v>
      </c>
      <c r="BF86">
        <f t="shared" si="15"/>
        <v>0</v>
      </c>
      <c r="BG86">
        <f t="shared" si="15"/>
        <v>0</v>
      </c>
      <c r="BH86">
        <f t="shared" si="15"/>
        <v>0</v>
      </c>
      <c r="BI86">
        <f t="shared" si="15"/>
        <v>0</v>
      </c>
      <c r="BJ86">
        <f t="shared" si="15"/>
        <v>0</v>
      </c>
      <c r="BK86">
        <f t="shared" si="15"/>
        <v>0</v>
      </c>
      <c r="BL86">
        <f t="shared" si="15"/>
        <v>0</v>
      </c>
      <c r="BM86">
        <f t="shared" si="15"/>
        <v>0</v>
      </c>
      <c r="BN86">
        <f t="shared" si="15"/>
        <v>0</v>
      </c>
      <c r="BO86">
        <f t="shared" si="15"/>
        <v>0</v>
      </c>
      <c r="BP86">
        <f t="shared" si="15"/>
        <v>0</v>
      </c>
      <c r="BQ86">
        <f t="shared" si="15"/>
        <v>0</v>
      </c>
      <c r="BR86">
        <f t="shared" si="15"/>
        <v>0</v>
      </c>
      <c r="BS86">
        <f t="shared" si="15"/>
        <v>0</v>
      </c>
      <c r="BT86">
        <f t="shared" si="15"/>
        <v>0</v>
      </c>
      <c r="BU86">
        <f t="shared" si="15"/>
        <v>0</v>
      </c>
      <c r="BV86">
        <f t="shared" si="15"/>
        <v>0</v>
      </c>
      <c r="BW86">
        <f t="shared" si="15"/>
        <v>0</v>
      </c>
    </row>
    <row r="87" spans="5:75" x14ac:dyDescent="0.25">
      <c r="E87" s="33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R87" s="42">
        <f t="shared" si="5"/>
        <v>9.1537818753176542E-2</v>
      </c>
      <c r="AS87">
        <v>11</v>
      </c>
      <c r="AT87">
        <f t="shared" ref="AT87:BW87" si="16">AT53*$AR87*AT$75</f>
        <v>0</v>
      </c>
      <c r="AU87">
        <f t="shared" si="16"/>
        <v>0</v>
      </c>
      <c r="AV87">
        <f t="shared" si="16"/>
        <v>0</v>
      </c>
      <c r="AW87">
        <f t="shared" si="16"/>
        <v>0</v>
      </c>
      <c r="AX87">
        <f t="shared" si="16"/>
        <v>0</v>
      </c>
      <c r="AY87">
        <f t="shared" si="16"/>
        <v>0</v>
      </c>
      <c r="AZ87">
        <f t="shared" si="16"/>
        <v>0</v>
      </c>
      <c r="BA87">
        <f t="shared" si="16"/>
        <v>0</v>
      </c>
      <c r="BB87">
        <f t="shared" si="16"/>
        <v>1.0885892604017417E-3</v>
      </c>
      <c r="BC87">
        <f t="shared" si="16"/>
        <v>0</v>
      </c>
      <c r="BD87">
        <f t="shared" si="16"/>
        <v>7.80538846830745E-3</v>
      </c>
      <c r="BE87">
        <f t="shared" si="16"/>
        <v>0</v>
      </c>
      <c r="BF87">
        <f t="shared" si="16"/>
        <v>0</v>
      </c>
      <c r="BG87">
        <f t="shared" si="16"/>
        <v>0</v>
      </c>
      <c r="BH87">
        <f t="shared" si="16"/>
        <v>0</v>
      </c>
      <c r="BI87">
        <f t="shared" si="16"/>
        <v>0</v>
      </c>
      <c r="BJ87">
        <f t="shared" si="16"/>
        <v>3.3514701106850266E-4</v>
      </c>
      <c r="BK87">
        <f t="shared" si="16"/>
        <v>0</v>
      </c>
      <c r="BL87">
        <f t="shared" si="16"/>
        <v>0</v>
      </c>
      <c r="BM87">
        <f t="shared" si="16"/>
        <v>0</v>
      </c>
      <c r="BN87">
        <f t="shared" si="16"/>
        <v>0</v>
      </c>
      <c r="BO87">
        <f t="shared" si="16"/>
        <v>0</v>
      </c>
      <c r="BP87">
        <f t="shared" si="16"/>
        <v>0</v>
      </c>
      <c r="BQ87">
        <f t="shared" si="16"/>
        <v>0</v>
      </c>
      <c r="BR87">
        <f t="shared" si="16"/>
        <v>0</v>
      </c>
      <c r="BS87">
        <f t="shared" si="16"/>
        <v>0</v>
      </c>
      <c r="BT87">
        <f t="shared" si="16"/>
        <v>0</v>
      </c>
      <c r="BU87">
        <f t="shared" si="16"/>
        <v>0</v>
      </c>
      <c r="BV87">
        <f t="shared" si="16"/>
        <v>0</v>
      </c>
      <c r="BW87">
        <f t="shared" si="16"/>
        <v>0</v>
      </c>
    </row>
    <row r="88" spans="5:75" x14ac:dyDescent="0.25">
      <c r="E88" s="33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R88" s="42">
        <f t="shared" si="5"/>
        <v>3.0301430789396094E-2</v>
      </c>
      <c r="AS88">
        <v>12</v>
      </c>
      <c r="AT88">
        <f t="shared" ref="AT88:BW88" si="17">AT54*$AR88*AT$75</f>
        <v>0</v>
      </c>
      <c r="AU88">
        <f t="shared" si="17"/>
        <v>0</v>
      </c>
      <c r="AV88">
        <f t="shared" si="17"/>
        <v>0</v>
      </c>
      <c r="AW88">
        <f t="shared" si="17"/>
        <v>0</v>
      </c>
      <c r="AX88">
        <f t="shared" si="17"/>
        <v>0</v>
      </c>
      <c r="AY88">
        <f t="shared" si="17"/>
        <v>0</v>
      </c>
      <c r="AZ88">
        <f t="shared" si="17"/>
        <v>7.5382350264223896E-4</v>
      </c>
      <c r="BA88">
        <f t="shared" si="17"/>
        <v>0</v>
      </c>
      <c r="BB88">
        <f t="shared" si="17"/>
        <v>0</v>
      </c>
      <c r="BC88">
        <f t="shared" si="17"/>
        <v>0</v>
      </c>
      <c r="BD88">
        <f t="shared" si="17"/>
        <v>0</v>
      </c>
      <c r="BE88">
        <f t="shared" si="17"/>
        <v>1.0045941741067988E-3</v>
      </c>
      <c r="BF88">
        <f t="shared" si="17"/>
        <v>0</v>
      </c>
      <c r="BG88">
        <f t="shared" si="17"/>
        <v>0</v>
      </c>
      <c r="BH88">
        <f t="shared" si="17"/>
        <v>0</v>
      </c>
      <c r="BI88">
        <f t="shared" si="17"/>
        <v>0</v>
      </c>
      <c r="BJ88">
        <f t="shared" si="17"/>
        <v>0</v>
      </c>
      <c r="BK88">
        <f t="shared" si="17"/>
        <v>0</v>
      </c>
      <c r="BL88">
        <f t="shared" si="17"/>
        <v>0</v>
      </c>
      <c r="BM88">
        <f t="shared" si="17"/>
        <v>0</v>
      </c>
      <c r="BN88">
        <f t="shared" si="17"/>
        <v>0</v>
      </c>
      <c r="BO88">
        <f t="shared" si="17"/>
        <v>0</v>
      </c>
      <c r="BP88">
        <f t="shared" si="17"/>
        <v>0</v>
      </c>
      <c r="BQ88">
        <f t="shared" si="17"/>
        <v>0</v>
      </c>
      <c r="BR88">
        <f t="shared" si="17"/>
        <v>0</v>
      </c>
      <c r="BS88">
        <f t="shared" si="17"/>
        <v>0</v>
      </c>
      <c r="BT88">
        <f t="shared" si="17"/>
        <v>0</v>
      </c>
      <c r="BU88">
        <f t="shared" si="17"/>
        <v>0</v>
      </c>
      <c r="BV88">
        <f t="shared" si="17"/>
        <v>0</v>
      </c>
      <c r="BW88">
        <f t="shared" si="17"/>
        <v>1.4953298717981785E-3</v>
      </c>
    </row>
    <row r="89" spans="5:75" x14ac:dyDescent="0.25">
      <c r="E89" s="33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R89" s="42">
        <f t="shared" si="5"/>
        <v>0</v>
      </c>
      <c r="AS89">
        <v>13</v>
      </c>
      <c r="AT89">
        <f t="shared" ref="AT89:BW89" si="18">AT55*$AR89*AT$75</f>
        <v>0</v>
      </c>
      <c r="AU89">
        <f t="shared" si="18"/>
        <v>0</v>
      </c>
      <c r="AV89">
        <f t="shared" si="18"/>
        <v>0</v>
      </c>
      <c r="AW89">
        <f t="shared" si="18"/>
        <v>0</v>
      </c>
      <c r="AX89">
        <f t="shared" si="18"/>
        <v>0</v>
      </c>
      <c r="AY89">
        <f t="shared" si="18"/>
        <v>0</v>
      </c>
      <c r="AZ89">
        <f t="shared" si="18"/>
        <v>0</v>
      </c>
      <c r="BA89">
        <f t="shared" si="18"/>
        <v>0</v>
      </c>
      <c r="BB89">
        <f t="shared" si="18"/>
        <v>0</v>
      </c>
      <c r="BC89">
        <f t="shared" si="18"/>
        <v>0</v>
      </c>
      <c r="BD89">
        <f t="shared" si="18"/>
        <v>0</v>
      </c>
      <c r="BE89">
        <f t="shared" si="18"/>
        <v>0</v>
      </c>
      <c r="BF89">
        <f t="shared" si="18"/>
        <v>0</v>
      </c>
      <c r="BG89">
        <f t="shared" si="18"/>
        <v>0</v>
      </c>
      <c r="BH89">
        <f t="shared" si="18"/>
        <v>0</v>
      </c>
      <c r="BI89">
        <f t="shared" si="18"/>
        <v>0</v>
      </c>
      <c r="BJ89">
        <f t="shared" si="18"/>
        <v>0</v>
      </c>
      <c r="BK89">
        <f t="shared" si="18"/>
        <v>0</v>
      </c>
      <c r="BL89">
        <f t="shared" si="18"/>
        <v>0</v>
      </c>
      <c r="BM89">
        <f t="shared" si="18"/>
        <v>0</v>
      </c>
      <c r="BN89">
        <f t="shared" si="18"/>
        <v>0</v>
      </c>
      <c r="BO89">
        <f t="shared" si="18"/>
        <v>0</v>
      </c>
      <c r="BP89">
        <f t="shared" si="18"/>
        <v>0</v>
      </c>
      <c r="BQ89">
        <f t="shared" si="18"/>
        <v>0</v>
      </c>
      <c r="BR89">
        <f t="shared" si="18"/>
        <v>0</v>
      </c>
      <c r="BS89">
        <f t="shared" si="18"/>
        <v>0</v>
      </c>
      <c r="BT89">
        <f t="shared" si="18"/>
        <v>0</v>
      </c>
      <c r="BU89">
        <f t="shared" si="18"/>
        <v>0</v>
      </c>
      <c r="BV89">
        <f t="shared" si="18"/>
        <v>0</v>
      </c>
      <c r="BW89">
        <f t="shared" si="18"/>
        <v>0</v>
      </c>
    </row>
    <row r="90" spans="5:75" x14ac:dyDescent="0.25">
      <c r="E90" s="33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R90" s="42">
        <f t="shared" si="5"/>
        <v>0</v>
      </c>
      <c r="AS90">
        <v>14</v>
      </c>
      <c r="AT90">
        <f t="shared" ref="AT90:BW90" si="19">AT56*$AR90*AT$75</f>
        <v>0</v>
      </c>
      <c r="AU90">
        <f t="shared" si="19"/>
        <v>0</v>
      </c>
      <c r="AV90">
        <f t="shared" si="19"/>
        <v>0</v>
      </c>
      <c r="AW90">
        <f t="shared" si="19"/>
        <v>0</v>
      </c>
      <c r="AX90">
        <f t="shared" si="19"/>
        <v>0</v>
      </c>
      <c r="AY90">
        <f t="shared" si="19"/>
        <v>0</v>
      </c>
      <c r="AZ90">
        <f t="shared" si="19"/>
        <v>0</v>
      </c>
      <c r="BA90">
        <f t="shared" si="19"/>
        <v>0</v>
      </c>
      <c r="BB90">
        <f t="shared" si="19"/>
        <v>0</v>
      </c>
      <c r="BC90">
        <f t="shared" si="19"/>
        <v>0</v>
      </c>
      <c r="BD90">
        <f t="shared" si="19"/>
        <v>0</v>
      </c>
      <c r="BE90">
        <f t="shared" si="19"/>
        <v>0</v>
      </c>
      <c r="BF90">
        <f t="shared" si="19"/>
        <v>0</v>
      </c>
      <c r="BG90">
        <f t="shared" si="19"/>
        <v>0</v>
      </c>
      <c r="BH90">
        <f t="shared" si="19"/>
        <v>0</v>
      </c>
      <c r="BI90">
        <f t="shared" si="19"/>
        <v>0</v>
      </c>
      <c r="BJ90">
        <f t="shared" si="19"/>
        <v>0</v>
      </c>
      <c r="BK90">
        <f t="shared" si="19"/>
        <v>0</v>
      </c>
      <c r="BL90">
        <f t="shared" si="19"/>
        <v>0</v>
      </c>
      <c r="BM90">
        <f t="shared" si="19"/>
        <v>0</v>
      </c>
      <c r="BN90">
        <f t="shared" si="19"/>
        <v>0</v>
      </c>
      <c r="BO90">
        <f t="shared" si="19"/>
        <v>0</v>
      </c>
      <c r="BP90">
        <f t="shared" si="19"/>
        <v>0</v>
      </c>
      <c r="BQ90">
        <f t="shared" si="19"/>
        <v>0</v>
      </c>
      <c r="BR90">
        <f t="shared" si="19"/>
        <v>0</v>
      </c>
      <c r="BS90">
        <f t="shared" si="19"/>
        <v>0</v>
      </c>
      <c r="BT90">
        <f t="shared" si="19"/>
        <v>0</v>
      </c>
      <c r="BU90">
        <f t="shared" si="19"/>
        <v>0</v>
      </c>
      <c r="BV90">
        <f t="shared" si="19"/>
        <v>0</v>
      </c>
      <c r="BW90">
        <f t="shared" si="19"/>
        <v>0</v>
      </c>
    </row>
    <row r="91" spans="5:75" x14ac:dyDescent="0.25">
      <c r="E91" s="33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R91" s="42">
        <f t="shared" si="5"/>
        <v>9.7572620690575304E-2</v>
      </c>
      <c r="AS91">
        <v>15</v>
      </c>
      <c r="AT91">
        <f t="shared" ref="AT91:BW91" si="20">AT57*$AR91*AT$75</f>
        <v>0</v>
      </c>
      <c r="AU91">
        <f t="shared" si="20"/>
        <v>0</v>
      </c>
      <c r="AV91">
        <f t="shared" si="20"/>
        <v>0</v>
      </c>
      <c r="AW91">
        <f t="shared" si="20"/>
        <v>0</v>
      </c>
      <c r="AX91">
        <f t="shared" si="20"/>
        <v>0</v>
      </c>
      <c r="AY91">
        <f t="shared" si="20"/>
        <v>0</v>
      </c>
      <c r="AZ91">
        <f t="shared" si="20"/>
        <v>0</v>
      </c>
      <c r="BA91">
        <f t="shared" si="20"/>
        <v>0</v>
      </c>
      <c r="BB91">
        <f t="shared" si="20"/>
        <v>0</v>
      </c>
      <c r="BC91">
        <f t="shared" si="20"/>
        <v>0</v>
      </c>
      <c r="BD91">
        <f t="shared" si="20"/>
        <v>0</v>
      </c>
      <c r="BE91">
        <f t="shared" si="20"/>
        <v>0</v>
      </c>
      <c r="BF91">
        <f t="shared" si="20"/>
        <v>0</v>
      </c>
      <c r="BG91">
        <f t="shared" si="20"/>
        <v>0</v>
      </c>
      <c r="BH91">
        <f t="shared" si="20"/>
        <v>1.0092175323049084E-2</v>
      </c>
      <c r="BI91">
        <f t="shared" si="20"/>
        <v>0</v>
      </c>
      <c r="BJ91">
        <f t="shared" si="20"/>
        <v>0</v>
      </c>
      <c r="BK91">
        <f t="shared" si="20"/>
        <v>0</v>
      </c>
      <c r="BL91">
        <f t="shared" si="20"/>
        <v>0</v>
      </c>
      <c r="BM91">
        <f t="shared" si="20"/>
        <v>0</v>
      </c>
      <c r="BN91">
        <f t="shared" si="20"/>
        <v>0</v>
      </c>
      <c r="BO91">
        <f t="shared" si="20"/>
        <v>0</v>
      </c>
      <c r="BP91">
        <f t="shared" si="20"/>
        <v>0</v>
      </c>
      <c r="BQ91">
        <f t="shared" si="20"/>
        <v>0</v>
      </c>
      <c r="BR91">
        <f t="shared" si="20"/>
        <v>0</v>
      </c>
      <c r="BS91">
        <f t="shared" si="20"/>
        <v>2.1900379332360311E-3</v>
      </c>
      <c r="BT91">
        <f t="shared" si="20"/>
        <v>0</v>
      </c>
      <c r="BU91">
        <f t="shared" si="20"/>
        <v>0</v>
      </c>
      <c r="BV91">
        <f t="shared" si="20"/>
        <v>0</v>
      </c>
      <c r="BW91">
        <f t="shared" si="20"/>
        <v>0</v>
      </c>
    </row>
    <row r="92" spans="5:75" x14ac:dyDescent="0.25">
      <c r="E92" s="33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R92" s="42">
        <f t="shared" si="5"/>
        <v>0</v>
      </c>
      <c r="AS92">
        <v>16</v>
      </c>
      <c r="AT92">
        <f t="shared" ref="AT92:BW92" si="21">AT58*$AR92*AT$75</f>
        <v>0</v>
      </c>
      <c r="AU92">
        <f t="shared" si="21"/>
        <v>0</v>
      </c>
      <c r="AV92">
        <f t="shared" si="21"/>
        <v>0</v>
      </c>
      <c r="AW92">
        <f t="shared" si="21"/>
        <v>0</v>
      </c>
      <c r="AX92">
        <f t="shared" si="21"/>
        <v>0</v>
      </c>
      <c r="AY92">
        <f t="shared" si="21"/>
        <v>0</v>
      </c>
      <c r="AZ92">
        <f t="shared" si="21"/>
        <v>0</v>
      </c>
      <c r="BA92">
        <f t="shared" si="21"/>
        <v>0</v>
      </c>
      <c r="BB92">
        <f t="shared" si="21"/>
        <v>0</v>
      </c>
      <c r="BC92">
        <f t="shared" si="21"/>
        <v>0</v>
      </c>
      <c r="BD92">
        <f t="shared" si="21"/>
        <v>0</v>
      </c>
      <c r="BE92">
        <f t="shared" si="21"/>
        <v>0</v>
      </c>
      <c r="BF92">
        <f t="shared" si="21"/>
        <v>0</v>
      </c>
      <c r="BG92">
        <f t="shared" si="21"/>
        <v>0</v>
      </c>
      <c r="BH92">
        <f t="shared" si="21"/>
        <v>0</v>
      </c>
      <c r="BI92">
        <f t="shared" si="21"/>
        <v>0</v>
      </c>
      <c r="BJ92">
        <f t="shared" si="21"/>
        <v>0</v>
      </c>
      <c r="BK92">
        <f t="shared" si="21"/>
        <v>0</v>
      </c>
      <c r="BL92">
        <f t="shared" si="21"/>
        <v>0</v>
      </c>
      <c r="BM92">
        <f t="shared" si="21"/>
        <v>0</v>
      </c>
      <c r="BN92">
        <f t="shared" si="21"/>
        <v>0</v>
      </c>
      <c r="BO92">
        <f t="shared" si="21"/>
        <v>0</v>
      </c>
      <c r="BP92">
        <f t="shared" si="21"/>
        <v>0</v>
      </c>
      <c r="BQ92">
        <f t="shared" si="21"/>
        <v>0</v>
      </c>
      <c r="BR92">
        <f t="shared" si="21"/>
        <v>0</v>
      </c>
      <c r="BS92">
        <f t="shared" si="21"/>
        <v>0</v>
      </c>
      <c r="BT92">
        <f t="shared" si="21"/>
        <v>0</v>
      </c>
      <c r="BU92">
        <f t="shared" si="21"/>
        <v>0</v>
      </c>
      <c r="BV92">
        <f t="shared" si="21"/>
        <v>0</v>
      </c>
      <c r="BW92">
        <f t="shared" si="21"/>
        <v>0</v>
      </c>
    </row>
    <row r="93" spans="5:75" x14ac:dyDescent="0.25">
      <c r="E93" s="33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R93" s="42">
        <f t="shared" si="5"/>
        <v>1.51329077203266E-2</v>
      </c>
      <c r="AS93">
        <v>17</v>
      </c>
      <c r="AT93">
        <f t="shared" ref="AT93:BW93" si="22">AT59*$AR93*AT$75</f>
        <v>0</v>
      </c>
      <c r="AU93">
        <f t="shared" si="22"/>
        <v>0</v>
      </c>
      <c r="AV93">
        <f t="shared" si="22"/>
        <v>0</v>
      </c>
      <c r="AW93">
        <f t="shared" si="22"/>
        <v>0</v>
      </c>
      <c r="AX93">
        <f t="shared" si="22"/>
        <v>0</v>
      </c>
      <c r="AY93">
        <f t="shared" si="22"/>
        <v>0</v>
      </c>
      <c r="AZ93">
        <f t="shared" si="22"/>
        <v>0</v>
      </c>
      <c r="BA93">
        <f t="shared" si="22"/>
        <v>0</v>
      </c>
      <c r="BB93">
        <f t="shared" si="22"/>
        <v>0</v>
      </c>
      <c r="BC93">
        <f t="shared" si="22"/>
        <v>0</v>
      </c>
      <c r="BD93">
        <f t="shared" si="22"/>
        <v>3.3514701106850272E-4</v>
      </c>
      <c r="BE93">
        <f t="shared" si="22"/>
        <v>0</v>
      </c>
      <c r="BF93">
        <f t="shared" si="22"/>
        <v>0</v>
      </c>
      <c r="BG93">
        <f t="shared" si="22"/>
        <v>0</v>
      </c>
      <c r="BH93">
        <f t="shared" si="22"/>
        <v>0</v>
      </c>
      <c r="BI93">
        <f t="shared" si="22"/>
        <v>0</v>
      </c>
      <c r="BJ93">
        <f t="shared" si="22"/>
        <v>2.2542148620372635E-4</v>
      </c>
      <c r="BK93">
        <f t="shared" si="22"/>
        <v>0</v>
      </c>
      <c r="BL93">
        <f t="shared" si="22"/>
        <v>0</v>
      </c>
      <c r="BM93">
        <f t="shared" si="22"/>
        <v>0</v>
      </c>
      <c r="BN93">
        <f t="shared" si="22"/>
        <v>0</v>
      </c>
      <c r="BO93">
        <f t="shared" si="22"/>
        <v>0</v>
      </c>
      <c r="BP93">
        <f t="shared" si="22"/>
        <v>0</v>
      </c>
      <c r="BQ93">
        <f t="shared" si="22"/>
        <v>0</v>
      </c>
      <c r="BR93">
        <f t="shared" si="22"/>
        <v>0</v>
      </c>
      <c r="BS93">
        <f t="shared" si="22"/>
        <v>1.6655311015953192E-4</v>
      </c>
      <c r="BT93">
        <f t="shared" si="22"/>
        <v>0</v>
      </c>
      <c r="BU93">
        <f t="shared" si="22"/>
        <v>0</v>
      </c>
      <c r="BV93">
        <f t="shared" si="22"/>
        <v>0</v>
      </c>
      <c r="BW93">
        <f t="shared" si="22"/>
        <v>0</v>
      </c>
    </row>
    <row r="94" spans="5:75" x14ac:dyDescent="0.25">
      <c r="E94" s="33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R94" s="42">
        <f t="shared" si="5"/>
        <v>0</v>
      </c>
      <c r="AS94">
        <v>18</v>
      </c>
      <c r="AT94">
        <f t="shared" ref="AT94:BW94" si="23">AT60*$AR94*AT$75</f>
        <v>0</v>
      </c>
      <c r="AU94">
        <f t="shared" si="23"/>
        <v>0</v>
      </c>
      <c r="AV94">
        <f t="shared" si="23"/>
        <v>0</v>
      </c>
      <c r="AW94">
        <f t="shared" si="23"/>
        <v>0</v>
      </c>
      <c r="AX94">
        <f t="shared" si="23"/>
        <v>0</v>
      </c>
      <c r="AY94">
        <f t="shared" si="23"/>
        <v>0</v>
      </c>
      <c r="AZ94">
        <f t="shared" si="23"/>
        <v>0</v>
      </c>
      <c r="BA94">
        <f t="shared" si="23"/>
        <v>0</v>
      </c>
      <c r="BB94">
        <f t="shared" si="23"/>
        <v>0</v>
      </c>
      <c r="BC94">
        <f t="shared" si="23"/>
        <v>0</v>
      </c>
      <c r="BD94">
        <f t="shared" si="23"/>
        <v>0</v>
      </c>
      <c r="BE94">
        <f t="shared" si="23"/>
        <v>0</v>
      </c>
      <c r="BF94">
        <f t="shared" si="23"/>
        <v>0</v>
      </c>
      <c r="BG94">
        <f t="shared" si="23"/>
        <v>0</v>
      </c>
      <c r="BH94">
        <f t="shared" si="23"/>
        <v>0</v>
      </c>
      <c r="BI94">
        <f t="shared" si="23"/>
        <v>0</v>
      </c>
      <c r="BJ94">
        <f t="shared" si="23"/>
        <v>0</v>
      </c>
      <c r="BK94">
        <f t="shared" si="23"/>
        <v>0</v>
      </c>
      <c r="BL94">
        <f t="shared" si="23"/>
        <v>0</v>
      </c>
      <c r="BM94">
        <f t="shared" si="23"/>
        <v>0</v>
      </c>
      <c r="BN94">
        <f t="shared" si="23"/>
        <v>0</v>
      </c>
      <c r="BO94">
        <f t="shared" si="23"/>
        <v>0</v>
      </c>
      <c r="BP94">
        <f t="shared" si="23"/>
        <v>0</v>
      </c>
      <c r="BQ94">
        <f t="shared" si="23"/>
        <v>0</v>
      </c>
      <c r="BR94">
        <f t="shared" si="23"/>
        <v>0</v>
      </c>
      <c r="BS94">
        <f t="shared" si="23"/>
        <v>0</v>
      </c>
      <c r="BT94">
        <f t="shared" si="23"/>
        <v>0</v>
      </c>
      <c r="BU94">
        <f t="shared" si="23"/>
        <v>0</v>
      </c>
      <c r="BV94">
        <f t="shared" si="23"/>
        <v>0</v>
      </c>
      <c r="BW94">
        <f t="shared" si="23"/>
        <v>0</v>
      </c>
    </row>
    <row r="95" spans="5:75" x14ac:dyDescent="0.25">
      <c r="E95" s="33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R95" s="42">
        <f t="shared" si="5"/>
        <v>0</v>
      </c>
      <c r="AS95">
        <v>19</v>
      </c>
      <c r="AT95">
        <f t="shared" ref="AT95:BW95" si="24">AT61*$AR95*AT$75</f>
        <v>0</v>
      </c>
      <c r="AU95">
        <f t="shared" si="24"/>
        <v>0</v>
      </c>
      <c r="AV95">
        <f t="shared" si="24"/>
        <v>0</v>
      </c>
      <c r="AW95">
        <f t="shared" si="24"/>
        <v>0</v>
      </c>
      <c r="AX95">
        <f t="shared" si="24"/>
        <v>0</v>
      </c>
      <c r="AY95">
        <f t="shared" si="24"/>
        <v>0</v>
      </c>
      <c r="AZ95">
        <f t="shared" si="24"/>
        <v>0</v>
      </c>
      <c r="BA95">
        <f t="shared" si="24"/>
        <v>0</v>
      </c>
      <c r="BB95">
        <f t="shared" si="24"/>
        <v>0</v>
      </c>
      <c r="BC95">
        <f t="shared" si="24"/>
        <v>0</v>
      </c>
      <c r="BD95">
        <f t="shared" si="24"/>
        <v>0</v>
      </c>
      <c r="BE95">
        <f t="shared" si="24"/>
        <v>0</v>
      </c>
      <c r="BF95">
        <f t="shared" si="24"/>
        <v>0</v>
      </c>
      <c r="BG95">
        <f t="shared" si="24"/>
        <v>0</v>
      </c>
      <c r="BH95">
        <f t="shared" si="24"/>
        <v>0</v>
      </c>
      <c r="BI95">
        <f t="shared" si="24"/>
        <v>0</v>
      </c>
      <c r="BJ95">
        <f t="shared" si="24"/>
        <v>0</v>
      </c>
      <c r="BK95">
        <f t="shared" si="24"/>
        <v>0</v>
      </c>
      <c r="BL95">
        <f t="shared" si="24"/>
        <v>0</v>
      </c>
      <c r="BM95">
        <f t="shared" si="24"/>
        <v>0</v>
      </c>
      <c r="BN95">
        <f t="shared" si="24"/>
        <v>0</v>
      </c>
      <c r="BO95">
        <f t="shared" si="24"/>
        <v>0</v>
      </c>
      <c r="BP95">
        <f t="shared" si="24"/>
        <v>0</v>
      </c>
      <c r="BQ95">
        <f t="shared" si="24"/>
        <v>0</v>
      </c>
      <c r="BR95">
        <f t="shared" si="24"/>
        <v>0</v>
      </c>
      <c r="BS95">
        <f t="shared" si="24"/>
        <v>0</v>
      </c>
      <c r="BT95">
        <f t="shared" si="24"/>
        <v>0</v>
      </c>
      <c r="BU95">
        <f t="shared" si="24"/>
        <v>0</v>
      </c>
      <c r="BV95">
        <f t="shared" si="24"/>
        <v>0</v>
      </c>
      <c r="BW95">
        <f t="shared" si="24"/>
        <v>0</v>
      </c>
    </row>
    <row r="96" spans="5:75" x14ac:dyDescent="0.25">
      <c r="E96" s="33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R96" s="42">
        <f t="shared" si="5"/>
        <v>0</v>
      </c>
      <c r="AS96">
        <v>20</v>
      </c>
      <c r="AT96">
        <f t="shared" ref="AT96:BW96" si="25">AT62*$AR96*AT$75</f>
        <v>0</v>
      </c>
      <c r="AU96">
        <f t="shared" si="25"/>
        <v>0</v>
      </c>
      <c r="AV96">
        <f t="shared" si="25"/>
        <v>0</v>
      </c>
      <c r="AW96">
        <f t="shared" si="25"/>
        <v>0</v>
      </c>
      <c r="AX96">
        <f t="shared" si="25"/>
        <v>0</v>
      </c>
      <c r="AY96">
        <f t="shared" si="25"/>
        <v>0</v>
      </c>
      <c r="AZ96">
        <f t="shared" si="25"/>
        <v>0</v>
      </c>
      <c r="BA96">
        <f t="shared" si="25"/>
        <v>0</v>
      </c>
      <c r="BB96">
        <f t="shared" si="25"/>
        <v>0</v>
      </c>
      <c r="BC96">
        <f t="shared" si="25"/>
        <v>0</v>
      </c>
      <c r="BD96">
        <f t="shared" si="25"/>
        <v>0</v>
      </c>
      <c r="BE96">
        <f t="shared" si="25"/>
        <v>0</v>
      </c>
      <c r="BF96">
        <f t="shared" si="25"/>
        <v>0</v>
      </c>
      <c r="BG96">
        <f t="shared" si="25"/>
        <v>0</v>
      </c>
      <c r="BH96">
        <f t="shared" si="25"/>
        <v>0</v>
      </c>
      <c r="BI96">
        <f t="shared" si="25"/>
        <v>0</v>
      </c>
      <c r="BJ96">
        <f t="shared" si="25"/>
        <v>0</v>
      </c>
      <c r="BK96">
        <f t="shared" si="25"/>
        <v>0</v>
      </c>
      <c r="BL96">
        <f t="shared" si="25"/>
        <v>0</v>
      </c>
      <c r="BM96">
        <f t="shared" si="25"/>
        <v>0</v>
      </c>
      <c r="BN96">
        <f t="shared" si="25"/>
        <v>0</v>
      </c>
      <c r="BO96">
        <f t="shared" si="25"/>
        <v>0</v>
      </c>
      <c r="BP96">
        <f t="shared" si="25"/>
        <v>0</v>
      </c>
      <c r="BQ96">
        <f t="shared" si="25"/>
        <v>0</v>
      </c>
      <c r="BR96">
        <f t="shared" si="25"/>
        <v>0</v>
      </c>
      <c r="BS96">
        <f t="shared" si="25"/>
        <v>0</v>
      </c>
      <c r="BT96">
        <f t="shared" si="25"/>
        <v>0</v>
      </c>
      <c r="BU96">
        <f t="shared" si="25"/>
        <v>0</v>
      </c>
      <c r="BV96">
        <f t="shared" si="25"/>
        <v>0</v>
      </c>
      <c r="BW96">
        <f t="shared" si="25"/>
        <v>0</v>
      </c>
    </row>
    <row r="97" spans="4:75" x14ac:dyDescent="0.25">
      <c r="E97" s="33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R97" s="42">
        <f t="shared" si="5"/>
        <v>5.6854871068946884E-2</v>
      </c>
      <c r="AS97">
        <v>21</v>
      </c>
      <c r="AT97">
        <f t="shared" ref="AT97:BW97" si="26">AT63*$AR97*AT$75</f>
        <v>0</v>
      </c>
      <c r="AU97">
        <f t="shared" si="26"/>
        <v>0</v>
      </c>
      <c r="AV97">
        <f t="shared" si="26"/>
        <v>0</v>
      </c>
      <c r="AW97">
        <f t="shared" si="26"/>
        <v>0</v>
      </c>
      <c r="AX97">
        <f t="shared" si="26"/>
        <v>0</v>
      </c>
      <c r="AY97">
        <f t="shared" si="26"/>
        <v>0</v>
      </c>
      <c r="AZ97">
        <f t="shared" si="26"/>
        <v>0</v>
      </c>
      <c r="BA97">
        <f t="shared" si="26"/>
        <v>0</v>
      </c>
      <c r="BB97">
        <f t="shared" si="26"/>
        <v>0</v>
      </c>
      <c r="BC97">
        <f t="shared" si="26"/>
        <v>0</v>
      </c>
      <c r="BD97">
        <f t="shared" si="26"/>
        <v>0</v>
      </c>
      <c r="BE97">
        <f t="shared" si="26"/>
        <v>0</v>
      </c>
      <c r="BF97">
        <f t="shared" si="26"/>
        <v>0</v>
      </c>
      <c r="BG97">
        <f t="shared" si="26"/>
        <v>0</v>
      </c>
      <c r="BH97">
        <f t="shared" si="26"/>
        <v>0</v>
      </c>
      <c r="BI97">
        <f t="shared" si="26"/>
        <v>0</v>
      </c>
      <c r="BJ97">
        <f t="shared" si="26"/>
        <v>0</v>
      </c>
      <c r="BK97">
        <f t="shared" si="26"/>
        <v>0</v>
      </c>
      <c r="BL97">
        <f t="shared" si="26"/>
        <v>0</v>
      </c>
      <c r="BM97">
        <f t="shared" si="26"/>
        <v>0</v>
      </c>
      <c r="BN97">
        <f t="shared" si="26"/>
        <v>3.3331619900621857E-3</v>
      </c>
      <c r="BO97">
        <f t="shared" si="26"/>
        <v>0</v>
      </c>
      <c r="BP97">
        <f t="shared" si="26"/>
        <v>0</v>
      </c>
      <c r="BQ97">
        <f t="shared" si="26"/>
        <v>0</v>
      </c>
      <c r="BR97">
        <f t="shared" si="26"/>
        <v>0</v>
      </c>
      <c r="BS97">
        <f t="shared" si="26"/>
        <v>0</v>
      </c>
      <c r="BT97">
        <f t="shared" si="26"/>
        <v>0</v>
      </c>
      <c r="BU97">
        <f t="shared" si="26"/>
        <v>0</v>
      </c>
      <c r="BV97">
        <f t="shared" si="26"/>
        <v>0</v>
      </c>
      <c r="BW97">
        <f t="shared" si="26"/>
        <v>0</v>
      </c>
    </row>
    <row r="98" spans="4:75" x14ac:dyDescent="0.25">
      <c r="E98" s="33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R98" s="42">
        <f t="shared" si="5"/>
        <v>0</v>
      </c>
      <c r="AS98">
        <v>22</v>
      </c>
      <c r="AT98">
        <f t="shared" ref="AT98:BW98" si="27">AT64*$AR98*AT$75</f>
        <v>0</v>
      </c>
      <c r="AU98">
        <f t="shared" si="27"/>
        <v>0</v>
      </c>
      <c r="AV98">
        <f t="shared" si="27"/>
        <v>0</v>
      </c>
      <c r="AW98">
        <f t="shared" si="27"/>
        <v>0</v>
      </c>
      <c r="AX98">
        <f t="shared" si="27"/>
        <v>0</v>
      </c>
      <c r="AY98">
        <f t="shared" si="27"/>
        <v>0</v>
      </c>
      <c r="AZ98">
        <f t="shared" si="27"/>
        <v>0</v>
      </c>
      <c r="BA98">
        <f t="shared" si="27"/>
        <v>0</v>
      </c>
      <c r="BB98">
        <f t="shared" si="27"/>
        <v>0</v>
      </c>
      <c r="BC98">
        <f t="shared" si="27"/>
        <v>0</v>
      </c>
      <c r="BD98">
        <f t="shared" si="27"/>
        <v>0</v>
      </c>
      <c r="BE98">
        <f t="shared" si="27"/>
        <v>0</v>
      </c>
      <c r="BF98">
        <f t="shared" si="27"/>
        <v>0</v>
      </c>
      <c r="BG98">
        <f t="shared" si="27"/>
        <v>0</v>
      </c>
      <c r="BH98">
        <f t="shared" si="27"/>
        <v>0</v>
      </c>
      <c r="BI98">
        <f t="shared" si="27"/>
        <v>0</v>
      </c>
      <c r="BJ98">
        <f t="shared" si="27"/>
        <v>0</v>
      </c>
      <c r="BK98">
        <f t="shared" si="27"/>
        <v>0</v>
      </c>
      <c r="BL98">
        <f t="shared" si="27"/>
        <v>0</v>
      </c>
      <c r="BM98">
        <f t="shared" si="27"/>
        <v>0</v>
      </c>
      <c r="BN98">
        <f t="shared" si="27"/>
        <v>0</v>
      </c>
      <c r="BO98">
        <f t="shared" si="27"/>
        <v>0</v>
      </c>
      <c r="BP98">
        <f t="shared" si="27"/>
        <v>0</v>
      </c>
      <c r="BQ98">
        <f t="shared" si="27"/>
        <v>0</v>
      </c>
      <c r="BR98">
        <f t="shared" si="27"/>
        <v>0</v>
      </c>
      <c r="BS98">
        <f t="shared" si="27"/>
        <v>0</v>
      </c>
      <c r="BT98">
        <f t="shared" si="27"/>
        <v>0</v>
      </c>
      <c r="BU98">
        <f t="shared" si="27"/>
        <v>0</v>
      </c>
      <c r="BV98">
        <f t="shared" si="27"/>
        <v>0</v>
      </c>
      <c r="BW98">
        <f t="shared" si="27"/>
        <v>0</v>
      </c>
    </row>
    <row r="99" spans="4:75" x14ac:dyDescent="0.25">
      <c r="E99" s="33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R99" s="42">
        <f t="shared" si="5"/>
        <v>5.6536001490671887E-2</v>
      </c>
      <c r="AS99">
        <v>23</v>
      </c>
      <c r="AT99">
        <f t="shared" ref="AT99:BW99" si="28">AT65*$AR99*AT$75</f>
        <v>0</v>
      </c>
      <c r="AU99">
        <f t="shared" si="28"/>
        <v>0</v>
      </c>
      <c r="AV99">
        <f t="shared" si="28"/>
        <v>0</v>
      </c>
      <c r="AW99">
        <f t="shared" si="28"/>
        <v>0</v>
      </c>
      <c r="AX99">
        <f t="shared" si="28"/>
        <v>0</v>
      </c>
      <c r="AY99">
        <f t="shared" si="28"/>
        <v>0</v>
      </c>
      <c r="AZ99">
        <f t="shared" si="28"/>
        <v>0</v>
      </c>
      <c r="BA99">
        <f t="shared" si="28"/>
        <v>0</v>
      </c>
      <c r="BB99">
        <f t="shared" si="28"/>
        <v>0</v>
      </c>
      <c r="BC99">
        <f t="shared" si="28"/>
        <v>0</v>
      </c>
      <c r="BD99">
        <f t="shared" si="28"/>
        <v>0</v>
      </c>
      <c r="BE99">
        <f t="shared" si="28"/>
        <v>0</v>
      </c>
      <c r="BF99">
        <f t="shared" si="28"/>
        <v>0</v>
      </c>
      <c r="BG99">
        <f t="shared" si="28"/>
        <v>0</v>
      </c>
      <c r="BH99">
        <f t="shared" si="28"/>
        <v>0</v>
      </c>
      <c r="BI99">
        <f t="shared" si="28"/>
        <v>0</v>
      </c>
      <c r="BJ99">
        <f t="shared" si="28"/>
        <v>0</v>
      </c>
      <c r="BK99">
        <f t="shared" si="28"/>
        <v>0</v>
      </c>
      <c r="BL99">
        <f t="shared" si="28"/>
        <v>0</v>
      </c>
      <c r="BM99">
        <f t="shared" si="28"/>
        <v>0</v>
      </c>
      <c r="BN99">
        <f t="shared" si="28"/>
        <v>0</v>
      </c>
      <c r="BO99">
        <f t="shared" si="28"/>
        <v>0</v>
      </c>
      <c r="BP99">
        <f t="shared" si="28"/>
        <v>3.4195052237521364E-3</v>
      </c>
      <c r="BQ99">
        <f t="shared" si="28"/>
        <v>0</v>
      </c>
      <c r="BR99">
        <f t="shared" si="28"/>
        <v>0</v>
      </c>
      <c r="BS99">
        <f t="shared" si="28"/>
        <v>0</v>
      </c>
      <c r="BT99">
        <f t="shared" si="28"/>
        <v>0</v>
      </c>
      <c r="BU99">
        <f t="shared" si="28"/>
        <v>0</v>
      </c>
      <c r="BV99">
        <f t="shared" si="28"/>
        <v>1.0041674755800222E-3</v>
      </c>
      <c r="BW99">
        <f t="shared" si="28"/>
        <v>0</v>
      </c>
    </row>
    <row r="100" spans="4:75" x14ac:dyDescent="0.25">
      <c r="E100" s="33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R100" s="42">
        <f t="shared" si="5"/>
        <v>4.073982054688953E-2</v>
      </c>
      <c r="AS100">
        <v>24</v>
      </c>
      <c r="AT100">
        <f t="shared" ref="AT100:BW100" si="29">AT66*$AR100*AT$75</f>
        <v>0</v>
      </c>
      <c r="AU100">
        <f t="shared" si="29"/>
        <v>0</v>
      </c>
      <c r="AV100">
        <f t="shared" si="29"/>
        <v>0</v>
      </c>
      <c r="AW100">
        <f t="shared" si="29"/>
        <v>7.9136910008367918E-5</v>
      </c>
      <c r="AX100">
        <f t="shared" si="29"/>
        <v>0</v>
      </c>
      <c r="AY100">
        <f t="shared" si="29"/>
        <v>0</v>
      </c>
      <c r="AZ100">
        <f t="shared" si="29"/>
        <v>0</v>
      </c>
      <c r="BA100">
        <f t="shared" si="29"/>
        <v>0</v>
      </c>
      <c r="BB100">
        <f t="shared" si="29"/>
        <v>0</v>
      </c>
      <c r="BC100">
        <f t="shared" si="29"/>
        <v>0</v>
      </c>
      <c r="BD100">
        <f t="shared" si="29"/>
        <v>0</v>
      </c>
      <c r="BE100">
        <f t="shared" si="29"/>
        <v>0</v>
      </c>
      <c r="BF100">
        <f t="shared" si="29"/>
        <v>0</v>
      </c>
      <c r="BG100">
        <f t="shared" si="29"/>
        <v>0</v>
      </c>
      <c r="BH100">
        <f t="shared" si="29"/>
        <v>0</v>
      </c>
      <c r="BI100">
        <f t="shared" si="29"/>
        <v>0</v>
      </c>
      <c r="BJ100">
        <f t="shared" si="29"/>
        <v>0</v>
      </c>
      <c r="BK100">
        <f t="shared" si="29"/>
        <v>0</v>
      </c>
      <c r="BL100">
        <f t="shared" si="29"/>
        <v>0</v>
      </c>
      <c r="BM100">
        <f t="shared" si="29"/>
        <v>0</v>
      </c>
      <c r="BN100">
        <f t="shared" si="29"/>
        <v>0</v>
      </c>
      <c r="BO100">
        <f t="shared" si="29"/>
        <v>0</v>
      </c>
      <c r="BP100">
        <f t="shared" si="29"/>
        <v>0</v>
      </c>
      <c r="BQ100">
        <f t="shared" si="29"/>
        <v>1.8037955593159997E-3</v>
      </c>
      <c r="BR100">
        <f t="shared" si="29"/>
        <v>0</v>
      </c>
      <c r="BS100">
        <f t="shared" si="29"/>
        <v>0</v>
      </c>
      <c r="BT100">
        <f t="shared" si="29"/>
        <v>0</v>
      </c>
      <c r="BU100">
        <f t="shared" si="29"/>
        <v>0</v>
      </c>
      <c r="BV100">
        <f t="shared" si="29"/>
        <v>7.0559720243340107E-4</v>
      </c>
      <c r="BW100">
        <f t="shared" si="29"/>
        <v>0</v>
      </c>
    </row>
    <row r="101" spans="4:75" x14ac:dyDescent="0.25">
      <c r="E101" s="33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R101" s="42">
        <f t="shared" si="5"/>
        <v>0</v>
      </c>
      <c r="AS101">
        <v>25</v>
      </c>
      <c r="AT101">
        <f t="shared" ref="AT101:BW101" si="30">AT67*$AR101*AT$75</f>
        <v>0</v>
      </c>
      <c r="AU101">
        <f t="shared" si="30"/>
        <v>0</v>
      </c>
      <c r="AV101">
        <f t="shared" si="30"/>
        <v>0</v>
      </c>
      <c r="AW101">
        <f t="shared" si="30"/>
        <v>0</v>
      </c>
      <c r="AX101">
        <f t="shared" si="30"/>
        <v>0</v>
      </c>
      <c r="AY101">
        <f t="shared" si="30"/>
        <v>0</v>
      </c>
      <c r="AZ101">
        <f t="shared" si="30"/>
        <v>0</v>
      </c>
      <c r="BA101">
        <f t="shared" si="30"/>
        <v>0</v>
      </c>
      <c r="BB101">
        <f t="shared" si="30"/>
        <v>0</v>
      </c>
      <c r="BC101">
        <f t="shared" si="30"/>
        <v>0</v>
      </c>
      <c r="BD101">
        <f t="shared" si="30"/>
        <v>0</v>
      </c>
      <c r="BE101">
        <f t="shared" si="30"/>
        <v>0</v>
      </c>
      <c r="BF101">
        <f t="shared" si="30"/>
        <v>0</v>
      </c>
      <c r="BG101">
        <f t="shared" si="30"/>
        <v>0</v>
      </c>
      <c r="BH101">
        <f t="shared" si="30"/>
        <v>0</v>
      </c>
      <c r="BI101">
        <f t="shared" si="30"/>
        <v>0</v>
      </c>
      <c r="BJ101">
        <f t="shared" si="30"/>
        <v>0</v>
      </c>
      <c r="BK101">
        <f t="shared" si="30"/>
        <v>0</v>
      </c>
      <c r="BL101">
        <f t="shared" si="30"/>
        <v>0</v>
      </c>
      <c r="BM101">
        <f t="shared" si="30"/>
        <v>0</v>
      </c>
      <c r="BN101">
        <f t="shared" si="30"/>
        <v>0</v>
      </c>
      <c r="BO101">
        <f t="shared" si="30"/>
        <v>0</v>
      </c>
      <c r="BP101">
        <f t="shared" si="30"/>
        <v>0</v>
      </c>
      <c r="BQ101">
        <f t="shared" si="30"/>
        <v>0</v>
      </c>
      <c r="BR101">
        <f t="shared" si="30"/>
        <v>0</v>
      </c>
      <c r="BS101">
        <f t="shared" si="30"/>
        <v>0</v>
      </c>
      <c r="BT101">
        <f t="shared" si="30"/>
        <v>0</v>
      </c>
      <c r="BU101">
        <f t="shared" si="30"/>
        <v>0</v>
      </c>
      <c r="BV101">
        <f t="shared" si="30"/>
        <v>0</v>
      </c>
      <c r="BW101">
        <f t="shared" si="30"/>
        <v>0</v>
      </c>
    </row>
    <row r="102" spans="4:75" x14ac:dyDescent="0.25">
      <c r="E102" s="33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R102" s="42">
        <f t="shared" si="5"/>
        <v>4.4449213690494559E-2</v>
      </c>
      <c r="AS102">
        <v>26</v>
      </c>
      <c r="AT102">
        <f t="shared" ref="AT102:BW102" si="31">AT68*$AR102*AT$75</f>
        <v>0</v>
      </c>
      <c r="AU102">
        <f t="shared" si="31"/>
        <v>0</v>
      </c>
      <c r="AV102">
        <f t="shared" si="31"/>
        <v>0</v>
      </c>
      <c r="AW102">
        <f t="shared" si="31"/>
        <v>0</v>
      </c>
      <c r="AX102">
        <f t="shared" si="31"/>
        <v>0</v>
      </c>
      <c r="AY102">
        <f t="shared" si="31"/>
        <v>0</v>
      </c>
      <c r="AZ102">
        <f t="shared" si="31"/>
        <v>0</v>
      </c>
      <c r="BA102">
        <f t="shared" si="31"/>
        <v>0</v>
      </c>
      <c r="BB102">
        <f t="shared" si="31"/>
        <v>0</v>
      </c>
      <c r="BC102">
        <f t="shared" si="31"/>
        <v>0</v>
      </c>
      <c r="BD102">
        <f t="shared" si="31"/>
        <v>0</v>
      </c>
      <c r="BE102">
        <f t="shared" si="31"/>
        <v>0</v>
      </c>
      <c r="BF102">
        <f t="shared" si="31"/>
        <v>0</v>
      </c>
      <c r="BG102">
        <f t="shared" si="31"/>
        <v>0</v>
      </c>
      <c r="BH102">
        <f t="shared" si="31"/>
        <v>2.1900379332360307E-3</v>
      </c>
      <c r="BI102">
        <f t="shared" si="31"/>
        <v>0</v>
      </c>
      <c r="BJ102">
        <f t="shared" si="31"/>
        <v>1.6655311015953192E-4</v>
      </c>
      <c r="BK102">
        <f t="shared" si="31"/>
        <v>0</v>
      </c>
      <c r="BL102">
        <f t="shared" si="31"/>
        <v>0</v>
      </c>
      <c r="BM102">
        <f t="shared" si="31"/>
        <v>0</v>
      </c>
      <c r="BN102">
        <f t="shared" si="31"/>
        <v>0</v>
      </c>
      <c r="BO102">
        <f t="shared" si="31"/>
        <v>0</v>
      </c>
      <c r="BP102">
        <f t="shared" si="31"/>
        <v>0</v>
      </c>
      <c r="BQ102">
        <f t="shared" si="31"/>
        <v>0</v>
      </c>
      <c r="BR102">
        <f t="shared" si="31"/>
        <v>0</v>
      </c>
      <c r="BS102">
        <f t="shared" si="31"/>
        <v>2.0775777132472366E-3</v>
      </c>
      <c r="BT102">
        <f t="shared" si="31"/>
        <v>0</v>
      </c>
      <c r="BU102">
        <f t="shared" si="31"/>
        <v>0</v>
      </c>
      <c r="BV102">
        <f t="shared" si="31"/>
        <v>0</v>
      </c>
      <c r="BW102">
        <f t="shared" si="31"/>
        <v>0</v>
      </c>
    </row>
    <row r="103" spans="4:75" x14ac:dyDescent="0.25">
      <c r="E103" s="33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R103" s="42">
        <f t="shared" si="5"/>
        <v>0.14145753436903991</v>
      </c>
      <c r="AS103">
        <v>27</v>
      </c>
      <c r="AT103">
        <f t="shared" ref="AT103:BW103" si="32">AT69*$AR103*AT$75</f>
        <v>0</v>
      </c>
      <c r="AU103">
        <f t="shared" si="32"/>
        <v>0</v>
      </c>
      <c r="AV103">
        <f t="shared" si="32"/>
        <v>0</v>
      </c>
      <c r="AW103">
        <f t="shared" si="32"/>
        <v>0</v>
      </c>
      <c r="AX103">
        <f t="shared" si="32"/>
        <v>0</v>
      </c>
      <c r="AY103">
        <f t="shared" si="32"/>
        <v>0</v>
      </c>
      <c r="AZ103">
        <f t="shared" si="32"/>
        <v>0</v>
      </c>
      <c r="BA103">
        <f t="shared" si="32"/>
        <v>0</v>
      </c>
      <c r="BB103">
        <f t="shared" si="32"/>
        <v>0</v>
      </c>
      <c r="BC103">
        <f t="shared" si="32"/>
        <v>0</v>
      </c>
      <c r="BD103">
        <f t="shared" si="32"/>
        <v>0</v>
      </c>
      <c r="BE103">
        <f t="shared" si="32"/>
        <v>0</v>
      </c>
      <c r="BF103">
        <f t="shared" si="32"/>
        <v>0</v>
      </c>
      <c r="BG103">
        <f t="shared" si="32"/>
        <v>0</v>
      </c>
      <c r="BH103">
        <f t="shared" si="32"/>
        <v>0</v>
      </c>
      <c r="BI103">
        <f t="shared" si="32"/>
        <v>0</v>
      </c>
      <c r="BJ103">
        <f t="shared" si="32"/>
        <v>0</v>
      </c>
      <c r="BK103">
        <f t="shared" si="32"/>
        <v>0</v>
      </c>
      <c r="BL103">
        <f t="shared" si="32"/>
        <v>0</v>
      </c>
      <c r="BM103">
        <f t="shared" si="32"/>
        <v>0</v>
      </c>
      <c r="BN103">
        <f t="shared" si="32"/>
        <v>0</v>
      </c>
      <c r="BO103">
        <f t="shared" si="32"/>
        <v>0</v>
      </c>
      <c r="BP103">
        <f t="shared" si="32"/>
        <v>0</v>
      </c>
      <c r="BQ103">
        <f t="shared" si="32"/>
        <v>0</v>
      </c>
      <c r="BR103">
        <f t="shared" si="32"/>
        <v>0</v>
      </c>
      <c r="BS103">
        <f t="shared" si="32"/>
        <v>0</v>
      </c>
      <c r="BT103">
        <f t="shared" si="32"/>
        <v>2.0983261547250984E-2</v>
      </c>
      <c r="BU103">
        <f t="shared" si="32"/>
        <v>0</v>
      </c>
      <c r="BV103">
        <f t="shared" si="32"/>
        <v>0</v>
      </c>
      <c r="BW103">
        <f t="shared" si="32"/>
        <v>0</v>
      </c>
    </row>
    <row r="104" spans="4:75" x14ac:dyDescent="0.25">
      <c r="E104" s="33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R104" s="42">
        <f t="shared" si="5"/>
        <v>0</v>
      </c>
      <c r="AS104">
        <v>28</v>
      </c>
      <c r="AT104">
        <f t="shared" ref="AT104:BW104" si="33">AT70*$AR104*AT$75</f>
        <v>0</v>
      </c>
      <c r="AU104">
        <f t="shared" si="33"/>
        <v>0</v>
      </c>
      <c r="AV104">
        <f t="shared" si="33"/>
        <v>0</v>
      </c>
      <c r="AW104">
        <f t="shared" si="33"/>
        <v>0</v>
      </c>
      <c r="AX104">
        <f t="shared" si="33"/>
        <v>0</v>
      </c>
      <c r="AY104">
        <f t="shared" si="33"/>
        <v>0</v>
      </c>
      <c r="AZ104">
        <f t="shared" si="33"/>
        <v>0</v>
      </c>
      <c r="BA104">
        <f t="shared" si="33"/>
        <v>0</v>
      </c>
      <c r="BB104">
        <f t="shared" si="33"/>
        <v>0</v>
      </c>
      <c r="BC104">
        <f t="shared" si="33"/>
        <v>0</v>
      </c>
      <c r="BD104">
        <f t="shared" si="33"/>
        <v>0</v>
      </c>
      <c r="BE104">
        <f t="shared" si="33"/>
        <v>0</v>
      </c>
      <c r="BF104">
        <f t="shared" si="33"/>
        <v>0</v>
      </c>
      <c r="BG104">
        <f t="shared" si="33"/>
        <v>0</v>
      </c>
      <c r="BH104">
        <f t="shared" si="33"/>
        <v>0</v>
      </c>
      <c r="BI104">
        <f t="shared" si="33"/>
        <v>0</v>
      </c>
      <c r="BJ104">
        <f t="shared" si="33"/>
        <v>0</v>
      </c>
      <c r="BK104">
        <f t="shared" si="33"/>
        <v>0</v>
      </c>
      <c r="BL104">
        <f t="shared" si="33"/>
        <v>0</v>
      </c>
      <c r="BM104">
        <f t="shared" si="33"/>
        <v>0</v>
      </c>
      <c r="BN104">
        <f t="shared" si="33"/>
        <v>0</v>
      </c>
      <c r="BO104">
        <f t="shared" si="33"/>
        <v>0</v>
      </c>
      <c r="BP104">
        <f t="shared" si="33"/>
        <v>0</v>
      </c>
      <c r="BQ104">
        <f t="shared" si="33"/>
        <v>0</v>
      </c>
      <c r="BR104">
        <f t="shared" si="33"/>
        <v>0</v>
      </c>
      <c r="BS104">
        <f t="shared" si="33"/>
        <v>0</v>
      </c>
      <c r="BT104">
        <f t="shared" si="33"/>
        <v>0</v>
      </c>
      <c r="BU104">
        <f t="shared" si="33"/>
        <v>0</v>
      </c>
      <c r="BV104">
        <f t="shared" si="33"/>
        <v>0</v>
      </c>
      <c r="BW104">
        <f t="shared" si="33"/>
        <v>0</v>
      </c>
    </row>
    <row r="105" spans="4:75" x14ac:dyDescent="0.25">
      <c r="E105" s="33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R105" s="42">
        <f t="shared" si="5"/>
        <v>7.066283487364157E-2</v>
      </c>
      <c r="AS105">
        <v>29</v>
      </c>
      <c r="AT105">
        <f t="shared" ref="AT105:BW105" si="34">AT71*$AR105*AT$75</f>
        <v>0</v>
      </c>
      <c r="AU105">
        <f t="shared" si="34"/>
        <v>0</v>
      </c>
      <c r="AV105">
        <f t="shared" si="34"/>
        <v>0</v>
      </c>
      <c r="AW105">
        <f t="shared" si="34"/>
        <v>0</v>
      </c>
      <c r="AX105">
        <f t="shared" si="34"/>
        <v>0</v>
      </c>
      <c r="AY105">
        <f t="shared" si="34"/>
        <v>0</v>
      </c>
      <c r="AZ105">
        <f t="shared" si="34"/>
        <v>0</v>
      </c>
      <c r="BA105">
        <f t="shared" si="34"/>
        <v>0</v>
      </c>
      <c r="BB105">
        <f t="shared" si="34"/>
        <v>8.2978361916188881E-4</v>
      </c>
      <c r="BC105">
        <f t="shared" si="34"/>
        <v>0</v>
      </c>
      <c r="BD105">
        <f t="shared" si="34"/>
        <v>0</v>
      </c>
      <c r="BE105">
        <f t="shared" si="34"/>
        <v>0</v>
      </c>
      <c r="BF105">
        <f t="shared" si="34"/>
        <v>0</v>
      </c>
      <c r="BG105">
        <f t="shared" si="34"/>
        <v>0</v>
      </c>
      <c r="BH105">
        <f t="shared" si="34"/>
        <v>0</v>
      </c>
      <c r="BI105">
        <f t="shared" si="34"/>
        <v>0</v>
      </c>
      <c r="BJ105">
        <f t="shared" si="34"/>
        <v>0</v>
      </c>
      <c r="BK105">
        <f t="shared" si="34"/>
        <v>0</v>
      </c>
      <c r="BL105">
        <f t="shared" si="34"/>
        <v>0</v>
      </c>
      <c r="BM105">
        <f t="shared" si="34"/>
        <v>0</v>
      </c>
      <c r="BN105">
        <f t="shared" si="34"/>
        <v>0</v>
      </c>
      <c r="BO105">
        <f t="shared" si="34"/>
        <v>0</v>
      </c>
      <c r="BP105">
        <f t="shared" si="34"/>
        <v>1.0041674755800222E-3</v>
      </c>
      <c r="BQ105">
        <f t="shared" si="34"/>
        <v>7.0559720243340107E-4</v>
      </c>
      <c r="BR105">
        <f t="shared" si="34"/>
        <v>0</v>
      </c>
      <c r="BS105">
        <f t="shared" si="34"/>
        <v>0</v>
      </c>
      <c r="BT105">
        <f t="shared" si="34"/>
        <v>0</v>
      </c>
      <c r="BU105">
        <f t="shared" si="34"/>
        <v>0</v>
      </c>
      <c r="BV105">
        <f t="shared" si="34"/>
        <v>5.1485037992932293E-3</v>
      </c>
      <c r="BW105">
        <f t="shared" si="34"/>
        <v>3.4996640829276118E-3</v>
      </c>
    </row>
    <row r="106" spans="4:75" x14ac:dyDescent="0.25">
      <c r="E106" s="33"/>
      <c r="AR106" s="42">
        <f t="shared" si="5"/>
        <v>0.2</v>
      </c>
      <c r="AS106">
        <v>30</v>
      </c>
      <c r="AT106">
        <f t="shared" ref="AT106:BW106" si="35">AT72*$AR106*AT$75</f>
        <v>0</v>
      </c>
      <c r="AU106">
        <f t="shared" si="35"/>
        <v>0</v>
      </c>
      <c r="AV106">
        <f t="shared" si="35"/>
        <v>0</v>
      </c>
      <c r="AW106">
        <f t="shared" si="35"/>
        <v>0</v>
      </c>
      <c r="AX106">
        <f t="shared" si="35"/>
        <v>0</v>
      </c>
      <c r="AY106">
        <f t="shared" si="35"/>
        <v>0</v>
      </c>
      <c r="AZ106">
        <f t="shared" si="35"/>
        <v>4.8554497771314802E-3</v>
      </c>
      <c r="BA106">
        <f t="shared" si="35"/>
        <v>0</v>
      </c>
      <c r="BB106">
        <f t="shared" si="35"/>
        <v>0</v>
      </c>
      <c r="BC106">
        <f t="shared" si="35"/>
        <v>0</v>
      </c>
      <c r="BD106">
        <f t="shared" si="35"/>
        <v>0</v>
      </c>
      <c r="BE106">
        <f t="shared" si="35"/>
        <v>0</v>
      </c>
      <c r="BF106">
        <f t="shared" si="35"/>
        <v>0</v>
      </c>
      <c r="BG106">
        <f t="shared" si="35"/>
        <v>0</v>
      </c>
      <c r="BH106">
        <f t="shared" si="35"/>
        <v>0</v>
      </c>
      <c r="BI106">
        <f t="shared" si="35"/>
        <v>0</v>
      </c>
      <c r="BJ106">
        <f t="shared" si="35"/>
        <v>0</v>
      </c>
      <c r="BK106">
        <f t="shared" si="35"/>
        <v>0</v>
      </c>
      <c r="BL106">
        <f t="shared" si="35"/>
        <v>0</v>
      </c>
      <c r="BM106">
        <f t="shared" si="35"/>
        <v>0</v>
      </c>
      <c r="BN106">
        <f t="shared" si="35"/>
        <v>5.5909797211972732E-3</v>
      </c>
      <c r="BO106">
        <f t="shared" si="35"/>
        <v>0</v>
      </c>
      <c r="BP106">
        <f t="shared" si="35"/>
        <v>0</v>
      </c>
      <c r="BQ106">
        <f t="shared" si="35"/>
        <v>0</v>
      </c>
      <c r="BR106">
        <f t="shared" si="35"/>
        <v>0</v>
      </c>
      <c r="BS106">
        <f t="shared" si="35"/>
        <v>0</v>
      </c>
      <c r="BT106">
        <f t="shared" si="35"/>
        <v>0</v>
      </c>
      <c r="BU106">
        <f t="shared" si="35"/>
        <v>0</v>
      </c>
      <c r="BV106">
        <f t="shared" si="35"/>
        <v>0</v>
      </c>
      <c r="BW106">
        <f t="shared" si="35"/>
        <v>0</v>
      </c>
    </row>
    <row r="107" spans="4:75" x14ac:dyDescent="0.25"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</row>
    <row r="108" spans="4:75" x14ac:dyDescent="0.25">
      <c r="D108">
        <v>3.1E-2</v>
      </c>
      <c r="E108" s="33"/>
      <c r="AR108" s="33"/>
    </row>
    <row r="109" spans="4:75" x14ac:dyDescent="0.25">
      <c r="E109" s="33"/>
      <c r="AR109" s="33" t="s">
        <v>13</v>
      </c>
      <c r="AT109" s="44">
        <f>SUM(AT77:BW106)</f>
        <v>9.9999999986924923E-2</v>
      </c>
    </row>
    <row r="110" spans="4:75" x14ac:dyDescent="0.25">
      <c r="E110" s="33"/>
      <c r="AR110" s="33" t="s">
        <v>12</v>
      </c>
      <c r="AT110">
        <f>1/(2*AT109)</f>
        <v>5.0000000006537535</v>
      </c>
    </row>
    <row r="111" spans="4:75" x14ac:dyDescent="0.25">
      <c r="E111" s="33"/>
      <c r="AR111" s="33"/>
    </row>
    <row r="112" spans="4:75" x14ac:dyDescent="0.25">
      <c r="E112" s="33"/>
      <c r="AR112" s="33"/>
    </row>
    <row r="113" spans="5:44" x14ac:dyDescent="0.25">
      <c r="E113" s="33"/>
      <c r="AR113" s="33"/>
    </row>
    <row r="114" spans="5:44" x14ac:dyDescent="0.25">
      <c r="E114" s="33"/>
      <c r="AR114" s="33"/>
    </row>
    <row r="115" spans="5:44" x14ac:dyDescent="0.25">
      <c r="E115" s="33"/>
      <c r="AR115" s="33"/>
    </row>
    <row r="116" spans="5:44" x14ac:dyDescent="0.25">
      <c r="E116" s="33"/>
      <c r="AR116" s="33"/>
    </row>
    <row r="117" spans="5:44" x14ac:dyDescent="0.25">
      <c r="E117" s="33"/>
      <c r="AR117" s="33"/>
    </row>
    <row r="118" spans="5:44" x14ac:dyDescent="0.25">
      <c r="E118" s="33"/>
      <c r="AR118" s="33"/>
    </row>
    <row r="119" spans="5:44" x14ac:dyDescent="0.25">
      <c r="E119" s="33"/>
      <c r="AR119" s="33"/>
    </row>
    <row r="120" spans="5:44" x14ac:dyDescent="0.25">
      <c r="E120" s="33"/>
      <c r="AR120" s="33"/>
    </row>
    <row r="121" spans="5:44" x14ac:dyDescent="0.25">
      <c r="E121" s="33"/>
      <c r="AR121" s="33"/>
    </row>
    <row r="122" spans="5:44" x14ac:dyDescent="0.25">
      <c r="E122" s="33"/>
      <c r="AR122" s="33"/>
    </row>
    <row r="123" spans="5:44" x14ac:dyDescent="0.25">
      <c r="E123" s="33"/>
      <c r="AR123" s="33"/>
    </row>
    <row r="124" spans="5:44" x14ac:dyDescent="0.25">
      <c r="E124" s="33"/>
      <c r="AR124" s="33"/>
    </row>
    <row r="125" spans="5:44" x14ac:dyDescent="0.25">
      <c r="E125" s="33"/>
      <c r="AR125" s="33"/>
    </row>
    <row r="126" spans="5:44" x14ac:dyDescent="0.25">
      <c r="E126" s="33"/>
      <c r="AR126" s="33"/>
    </row>
    <row r="127" spans="5:44" x14ac:dyDescent="0.25">
      <c r="E127" s="33"/>
      <c r="AR127" s="33"/>
    </row>
    <row r="128" spans="5:44" x14ac:dyDescent="0.25">
      <c r="E128" s="33"/>
      <c r="AR128" s="33"/>
    </row>
    <row r="129" spans="5:44" x14ac:dyDescent="0.25">
      <c r="E129" s="33"/>
      <c r="AR129" s="33"/>
    </row>
    <row r="130" spans="5:44" x14ac:dyDescent="0.25">
      <c r="E130" s="33"/>
      <c r="AR130" s="33"/>
    </row>
    <row r="131" spans="5:44" x14ac:dyDescent="0.25">
      <c r="E131" s="33"/>
      <c r="AR131" s="33"/>
    </row>
    <row r="132" spans="5:44" x14ac:dyDescent="0.25">
      <c r="E132" s="33"/>
      <c r="AR132" s="33"/>
    </row>
    <row r="133" spans="5:44" x14ac:dyDescent="0.25">
      <c r="E133" s="33"/>
      <c r="AR133" s="33"/>
    </row>
    <row r="134" spans="5:44" x14ac:dyDescent="0.25">
      <c r="E134" s="33"/>
      <c r="AR134" s="33"/>
    </row>
    <row r="135" spans="5:44" x14ac:dyDescent="0.25">
      <c r="E135" s="33"/>
      <c r="AR135" s="33"/>
    </row>
    <row r="136" spans="5:44" x14ac:dyDescent="0.25">
      <c r="E136" s="33"/>
      <c r="AR136" s="33"/>
    </row>
    <row r="137" spans="5:44" x14ac:dyDescent="0.25">
      <c r="E137" s="33"/>
      <c r="AR137" s="33"/>
    </row>
    <row r="138" spans="5:44" x14ac:dyDescent="0.25">
      <c r="E138" s="33"/>
      <c r="AR138" s="33"/>
    </row>
    <row r="139" spans="5:44" x14ac:dyDescent="0.25">
      <c r="E139" s="33"/>
      <c r="AR139" s="33"/>
    </row>
  </sheetData>
  <mergeCells count="1">
    <mergeCell ref="F2:AI2"/>
  </mergeCells>
  <conditionalFormatting sqref="AM4:AM3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{8605D578-2388-4600-9305-4FB75FC23040}</x14:id>
        </ext>
      </extLst>
    </cfRule>
  </conditionalFormatting>
  <conditionalFormatting sqref="AT4:BW33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{32E1F90E-1ED7-41D7-B8F1-39A45C86CAFC}</x14:id>
        </ext>
      </extLst>
    </cfRule>
  </conditionalFormatting>
  <conditionalFormatting sqref="AT108:BW139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{16908384-A8FC-4EC3-94A1-9A320EC3C906}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05D578-2388-4600-9305-4FB75FC230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AM4:AM33</xm:sqref>
        </x14:conditionalFormatting>
        <x14:conditionalFormatting xmlns:xm="http://schemas.microsoft.com/office/excel/2006/main">
          <x14:cfRule type="dataBar" id="{32E1F90E-1ED7-41D7-B8F1-39A45C86C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AT4:BW33</xm:sqref>
        </x14:conditionalFormatting>
        <x14:conditionalFormatting xmlns:xm="http://schemas.microsoft.com/office/excel/2006/main">
          <x14:cfRule type="dataBar" id="{16908384-A8FC-4EC3-94A1-9A320EC3C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AT108:BW139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FBED-8CB9-4A4A-B267-4F1B5D016842}">
  <dimension ref="A1:O1024"/>
  <sheetViews>
    <sheetView workbookViewId="0">
      <selection activeCell="B15" sqref="B15"/>
    </sheetView>
  </sheetViews>
  <sheetFormatPr defaultRowHeight="15" x14ac:dyDescent="0.25"/>
  <sheetData>
    <row r="1" spans="1:15" x14ac:dyDescent="0.25">
      <c r="A1">
        <v>1</v>
      </c>
      <c r="B1" cm="1">
        <f t="array" ref="B1">INDEX(Optimization!$F$4:$AI$33, INT((ROW()-1)/COLUMNS(Optimization!$F$4:$AI$33))+1, MOD(ROW()-1, COLUMNS(Optimization!$F$4:$AI$33))+1)</f>
        <v>0</v>
      </c>
      <c r="C1" cm="1">
        <f t="array" ref="C1">INDEX(Optimization!$AT$4:$BW$33, INT((ROW()-1)/COLUMNS(Optimization!$AT$4:$BW$33))+1, MOD(ROW()-1, COLUMNS(Optimization!$AT$4:$BW$33))+1)</f>
        <v>0</v>
      </c>
      <c r="E1" s="39" t="s">
        <v>11</v>
      </c>
    </row>
    <row r="2" spans="1:15" x14ac:dyDescent="0.25">
      <c r="A2">
        <v>2</v>
      </c>
      <c r="B2" cm="1">
        <f t="array" ref="B2">INDEX(Optimization!$F$4:$AI$33, INT((ROW()-1)/COLUMNS(Optimization!$F$4:$AI$33))+1, MOD(ROW()-1, COLUMNS(Optimization!$F$4:$AI$33))+1)</f>
        <v>1.6365299839493099</v>
      </c>
      <c r="C2" cm="1">
        <f t="array" ref="C2">INDEX(Optimization!$AT$4:$BW$33, INT((ROW()-1)/COLUMNS(Optimization!$AT$4:$BW$33))+1, MOD(ROW()-1, COLUMNS(Optimization!$AT$4:$BW$33))+1)</f>
        <v>0</v>
      </c>
    </row>
    <row r="3" spans="1:15" x14ac:dyDescent="0.25">
      <c r="A3">
        <v>3</v>
      </c>
      <c r="B3" cm="1">
        <f t="array" ref="B3">INDEX(Optimization!$F$4:$AI$33, INT((ROW()-1)/COLUMNS(Optimization!$F$4:$AI$33))+1, MOD(ROW()-1, COLUMNS(Optimization!$F$4:$AI$33))+1)</f>
        <v>0.14443891944626999</v>
      </c>
      <c r="C3" cm="1">
        <f t="array" ref="C3">INDEX(Optimization!$AT$4:$BW$33, INT((ROW()-1)/COLUMNS(Optimization!$AT$4:$BW$33))+1, MOD(ROW()-1, COLUMNS(Optimization!$AT$4:$BW$33))+1)</f>
        <v>0</v>
      </c>
      <c r="N3">
        <v>0</v>
      </c>
      <c r="O3">
        <v>0</v>
      </c>
    </row>
    <row r="4" spans="1:15" x14ac:dyDescent="0.25">
      <c r="A4">
        <v>4</v>
      </c>
      <c r="B4" cm="1">
        <f t="array" ref="B4">INDEX(Optimization!$F$4:$AI$33, INT((ROW()-1)/COLUMNS(Optimization!$F$4:$AI$33))+1, MOD(ROW()-1, COLUMNS(Optimization!$F$4:$AI$33))+1)</f>
        <v>-0.130353885302981</v>
      </c>
      <c r="C4" cm="1">
        <f t="array" ref="C4">INDEX(Optimization!$AT$4:$BW$33, INT((ROW()-1)/COLUMNS(Optimization!$AT$4:$BW$33))+1, MOD(ROW()-1, COLUMNS(Optimization!$AT$4:$BW$33))+1)</f>
        <v>0</v>
      </c>
      <c r="N4">
        <v>0</v>
      </c>
      <c r="O4">
        <v>120</v>
      </c>
    </row>
    <row r="5" spans="1:15" x14ac:dyDescent="0.25">
      <c r="A5">
        <v>5</v>
      </c>
      <c r="B5" cm="1">
        <f t="array" ref="B5">INDEX(Optimization!$F$4:$AI$33, INT((ROW()-1)/COLUMNS(Optimization!$F$4:$AI$33))+1, MOD(ROW()-1, COLUMNS(Optimization!$F$4:$AI$33))+1)</f>
        <v>0.65183593504495996</v>
      </c>
      <c r="C5" cm="1">
        <f t="array" ref="C5">INDEX(Optimization!$AT$4:$BW$33, INT((ROW()-1)/COLUMNS(Optimization!$AT$4:$BW$33))+1, MOD(ROW()-1, COLUMNS(Optimization!$AT$4:$BW$33))+1)</f>
        <v>0</v>
      </c>
    </row>
    <row r="6" spans="1:15" x14ac:dyDescent="0.25">
      <c r="A6">
        <v>6</v>
      </c>
      <c r="B6" cm="1">
        <f t="array" ref="B6">INDEX(Optimization!$F$4:$AI$33, INT((ROW()-1)/COLUMNS(Optimization!$F$4:$AI$33))+1, MOD(ROW()-1, COLUMNS(Optimization!$F$4:$AI$33))+1)</f>
        <v>0.107158130483926</v>
      </c>
      <c r="C6" cm="1">
        <f t="array" ref="C6">INDEX(Optimization!$AT$4:$BW$33, INT((ROW()-1)/COLUMNS(Optimization!$AT$4:$BW$33))+1, MOD(ROW()-1, COLUMNS(Optimization!$AT$4:$BW$33))+1)</f>
        <v>0</v>
      </c>
    </row>
    <row r="7" spans="1:15" x14ac:dyDescent="0.25">
      <c r="A7">
        <v>7</v>
      </c>
      <c r="B7" cm="1">
        <f t="array" ref="B7">INDEX(Optimization!$F$4:$AI$33, INT((ROW()-1)/COLUMNS(Optimization!$F$4:$AI$33))+1, MOD(ROW()-1, COLUMNS(Optimization!$F$4:$AI$33))+1)</f>
        <v>-1.4849538298842799</v>
      </c>
      <c r="C7" cm="1">
        <f t="array" ref="C7">INDEX(Optimization!$AT$4:$BW$33, INT((ROW()-1)/COLUMNS(Optimization!$AT$4:$BW$33))+1, MOD(ROW()-1, COLUMNS(Optimization!$AT$4:$BW$33))+1)</f>
        <v>0</v>
      </c>
    </row>
    <row r="8" spans="1:15" x14ac:dyDescent="0.25">
      <c r="A8">
        <v>8</v>
      </c>
      <c r="B8" cm="1">
        <f t="array" ref="B8">INDEX(Optimization!$F$4:$AI$33, INT((ROW()-1)/COLUMNS(Optimization!$F$4:$AI$33))+1, MOD(ROW()-1, COLUMNS(Optimization!$F$4:$AI$33))+1)</f>
        <v>-5.5826056726997898E-2</v>
      </c>
      <c r="C8" cm="1">
        <f t="array" ref="C8">INDEX(Optimization!$AT$4:$BW$33, INT((ROW()-1)/COLUMNS(Optimization!$AT$4:$BW$33))+1, MOD(ROW()-1, COLUMNS(Optimization!$AT$4:$BW$33))+1)</f>
        <v>0</v>
      </c>
    </row>
    <row r="9" spans="1:15" x14ac:dyDescent="0.25">
      <c r="A9">
        <v>9</v>
      </c>
      <c r="B9" cm="1">
        <f t="array" ref="B9">INDEX(Optimization!$F$4:$AI$33, INT((ROW()-1)/COLUMNS(Optimization!$F$4:$AI$33))+1, MOD(ROW()-1, COLUMNS(Optimization!$F$4:$AI$33))+1)</f>
        <v>0.233100622645561</v>
      </c>
      <c r="C9" cm="1">
        <f t="array" ref="C9">INDEX(Optimization!$AT$4:$BW$33, INT((ROW()-1)/COLUMNS(Optimization!$AT$4:$BW$33))+1, MOD(ROW()-1, COLUMNS(Optimization!$AT$4:$BW$33))+1)</f>
        <v>0</v>
      </c>
    </row>
    <row r="10" spans="1:15" x14ac:dyDescent="0.25">
      <c r="A10">
        <v>10</v>
      </c>
      <c r="B10" cm="1">
        <f t="array" ref="B10">INDEX(Optimization!$F$4:$AI$33, INT((ROW()-1)/COLUMNS(Optimization!$F$4:$AI$33))+1, MOD(ROW()-1, COLUMNS(Optimization!$F$4:$AI$33))+1)</f>
        <v>-0.55120302390134401</v>
      </c>
      <c r="C10" cm="1">
        <f t="array" ref="C10">INDEX(Optimization!$AT$4:$BW$33, INT((ROW()-1)/COLUMNS(Optimization!$AT$4:$BW$33))+1, MOD(ROW()-1, COLUMNS(Optimization!$AT$4:$BW$33))+1)</f>
        <v>0</v>
      </c>
    </row>
    <row r="11" spans="1:15" x14ac:dyDescent="0.25">
      <c r="A11">
        <v>11</v>
      </c>
      <c r="B11" cm="1">
        <f t="array" ref="B11">INDEX(Optimization!$F$4:$AI$33, INT((ROW()-1)/COLUMNS(Optimization!$F$4:$AI$33))+1, MOD(ROW()-1, COLUMNS(Optimization!$F$4:$AI$33))+1)</f>
        <v>-8.3762498111901798E-3</v>
      </c>
      <c r="C11" cm="1">
        <f t="array" ref="C11">INDEX(Optimization!$AT$4:$BW$33, INT((ROW()-1)/COLUMNS(Optimization!$AT$4:$BW$33))+1, MOD(ROW()-1, COLUMNS(Optimization!$AT$4:$BW$33))+1)</f>
        <v>0</v>
      </c>
    </row>
    <row r="12" spans="1:15" x14ac:dyDescent="0.25">
      <c r="A12">
        <v>12</v>
      </c>
      <c r="B12" cm="1">
        <f t="array" ref="B12">INDEX(Optimization!$F$4:$AI$33, INT((ROW()-1)/COLUMNS(Optimization!$F$4:$AI$33))+1, MOD(ROW()-1, COLUMNS(Optimization!$F$4:$AI$33))+1)</f>
        <v>-1.59175273253584</v>
      </c>
      <c r="C12" cm="1">
        <f t="array" ref="C12">INDEX(Optimization!$AT$4:$BW$33, INT((ROW()-1)/COLUMNS(Optimization!$AT$4:$BW$33))+1, MOD(ROW()-1, COLUMNS(Optimization!$AT$4:$BW$33))+1)</f>
        <v>0</v>
      </c>
    </row>
    <row r="13" spans="1:15" x14ac:dyDescent="0.25">
      <c r="A13">
        <v>13</v>
      </c>
      <c r="B13" cm="1">
        <f t="array" ref="B13">INDEX(Optimization!$F$4:$AI$33, INT((ROW()-1)/COLUMNS(Optimization!$F$4:$AI$33))+1, MOD(ROW()-1, COLUMNS(Optimization!$F$4:$AI$33))+1)</f>
        <v>0.48265320860602501</v>
      </c>
      <c r="C13" cm="1">
        <f t="array" ref="C13">INDEX(Optimization!$AT$4:$BW$33, INT((ROW()-1)/COLUMNS(Optimization!$AT$4:$BW$33))+1, MOD(ROW()-1, COLUMNS(Optimization!$AT$4:$BW$33))+1)</f>
        <v>0</v>
      </c>
    </row>
    <row r="14" spans="1:15" x14ac:dyDescent="0.25">
      <c r="A14">
        <v>14</v>
      </c>
      <c r="B14" cm="1">
        <f t="array" ref="B14">INDEX(Optimization!$F$4:$AI$33, INT((ROW()-1)/COLUMNS(Optimization!$F$4:$AI$33))+1, MOD(ROW()-1, COLUMNS(Optimization!$F$4:$AI$33))+1)</f>
        <v>0.42670491961294399</v>
      </c>
      <c r="C14" cm="1">
        <f t="array" ref="C14">INDEX(Optimization!$AT$4:$BW$33, INT((ROW()-1)/COLUMNS(Optimization!$AT$4:$BW$33))+1, MOD(ROW()-1, COLUMNS(Optimization!$AT$4:$BW$33))+1)</f>
        <v>0</v>
      </c>
    </row>
    <row r="15" spans="1:15" x14ac:dyDescent="0.25">
      <c r="A15">
        <v>15</v>
      </c>
      <c r="B15" cm="1">
        <f t="array" ref="B15">INDEX(Optimization!$F$4:$AI$33, INT((ROW()-1)/COLUMNS(Optimization!$F$4:$AI$33))+1, MOD(ROW()-1, COLUMNS(Optimization!$F$4:$AI$33))+1)</f>
        <v>0.21735478943887299</v>
      </c>
      <c r="C15" cm="1">
        <f t="array" ref="C15">INDEX(Optimization!$AT$4:$BW$33, INT((ROW()-1)/COLUMNS(Optimization!$AT$4:$BW$33))+1, MOD(ROW()-1, COLUMNS(Optimization!$AT$4:$BW$33))+1)</f>
        <v>0</v>
      </c>
    </row>
    <row r="16" spans="1:15" x14ac:dyDescent="0.25">
      <c r="A16">
        <v>16</v>
      </c>
      <c r="B16" cm="1">
        <f t="array" ref="B16">INDEX(Optimization!$F$4:$AI$33, INT((ROW()-1)/COLUMNS(Optimization!$F$4:$AI$33))+1, MOD(ROW()-1, COLUMNS(Optimization!$F$4:$AI$33))+1)</f>
        <v>-0.74091371752017399</v>
      </c>
      <c r="C16" cm="1">
        <f t="array" ref="C16">INDEX(Optimization!$AT$4:$BW$33, INT((ROW()-1)/COLUMNS(Optimization!$AT$4:$BW$33))+1, MOD(ROW()-1, COLUMNS(Optimization!$AT$4:$BW$33))+1)</f>
        <v>0</v>
      </c>
    </row>
    <row r="17" spans="1:3" x14ac:dyDescent="0.25">
      <c r="A17">
        <v>17</v>
      </c>
      <c r="B17" cm="1">
        <f t="array" ref="B17">INDEX(Optimization!$F$4:$AI$33, INT((ROW()-1)/COLUMNS(Optimization!$F$4:$AI$33))+1, MOD(ROW()-1, COLUMNS(Optimization!$F$4:$AI$33))+1)</f>
        <v>1.18553095114982</v>
      </c>
      <c r="C17" cm="1">
        <f t="array" ref="C17">INDEX(Optimization!$AT$4:$BW$33, INT((ROW()-1)/COLUMNS(Optimization!$AT$4:$BW$33))+1, MOD(ROW()-1, COLUMNS(Optimization!$AT$4:$BW$33))+1)</f>
        <v>0</v>
      </c>
    </row>
    <row r="18" spans="1:3" x14ac:dyDescent="0.25">
      <c r="A18">
        <v>18</v>
      </c>
      <c r="B18" cm="1">
        <f t="array" ref="B18">INDEX(Optimization!$F$4:$AI$33, INT((ROW()-1)/COLUMNS(Optimization!$F$4:$AI$33))+1, MOD(ROW()-1, COLUMNS(Optimization!$F$4:$AI$33))+1)</f>
        <v>0.73219835913706699</v>
      </c>
      <c r="C18" cm="1">
        <f t="array" ref="C18">INDEX(Optimization!$AT$4:$BW$33, INT((ROW()-1)/COLUMNS(Optimization!$AT$4:$BW$33))+1, MOD(ROW()-1, COLUMNS(Optimization!$AT$4:$BW$33))+1)</f>
        <v>0</v>
      </c>
    </row>
    <row r="19" spans="1:3" x14ac:dyDescent="0.25">
      <c r="A19">
        <v>19</v>
      </c>
      <c r="B19" cm="1">
        <f t="array" ref="B19">INDEX(Optimization!$F$4:$AI$33, INT((ROW()-1)/COLUMNS(Optimization!$F$4:$AI$33))+1, MOD(ROW()-1, COLUMNS(Optimization!$F$4:$AI$33))+1)</f>
        <v>-1.34738136129875</v>
      </c>
      <c r="C19" cm="1">
        <f t="array" ref="C19">INDEX(Optimization!$AT$4:$BW$33, INT((ROW()-1)/COLUMNS(Optimization!$AT$4:$BW$33))+1, MOD(ROW()-1, COLUMNS(Optimization!$AT$4:$BW$33))+1)</f>
        <v>0</v>
      </c>
    </row>
    <row r="20" spans="1:3" x14ac:dyDescent="0.25">
      <c r="A20">
        <v>20</v>
      </c>
      <c r="B20" cm="1">
        <f t="array" ref="B20">INDEX(Optimization!$F$4:$AI$33, INT((ROW()-1)/COLUMNS(Optimization!$F$4:$AI$33))+1, MOD(ROW()-1, COLUMNS(Optimization!$F$4:$AI$33))+1)</f>
        <v>0.54829275156579604</v>
      </c>
      <c r="C20" cm="1">
        <f t="array" ref="C20">INDEX(Optimization!$AT$4:$BW$33, INT((ROW()-1)/COLUMNS(Optimization!$AT$4:$BW$33))+1, MOD(ROW()-1, COLUMNS(Optimization!$AT$4:$BW$33))+1)</f>
        <v>0</v>
      </c>
    </row>
    <row r="21" spans="1:3" x14ac:dyDescent="0.25">
      <c r="A21">
        <v>21</v>
      </c>
      <c r="B21" cm="1">
        <f t="array" ref="B21">INDEX(Optimization!$F$4:$AI$33, INT((ROW()-1)/COLUMNS(Optimization!$F$4:$AI$33))+1, MOD(ROW()-1, COLUMNS(Optimization!$F$4:$AI$33))+1)</f>
        <v>-0.48096575605381903</v>
      </c>
      <c r="C21" cm="1">
        <f t="array" ref="C21">INDEX(Optimization!$AT$4:$BW$33, INT((ROW()-1)/COLUMNS(Optimization!$AT$4:$BW$33))+1, MOD(ROW()-1, COLUMNS(Optimization!$AT$4:$BW$33))+1)</f>
        <v>0</v>
      </c>
    </row>
    <row r="22" spans="1:3" x14ac:dyDescent="0.25">
      <c r="A22">
        <v>22</v>
      </c>
      <c r="B22" cm="1">
        <f t="array" ref="B22">INDEX(Optimization!$F$4:$AI$33, INT((ROW()-1)/COLUMNS(Optimization!$F$4:$AI$33))+1, MOD(ROW()-1, COLUMNS(Optimization!$F$4:$AI$33))+1)</f>
        <v>-0.27486141415267401</v>
      </c>
      <c r="C22" cm="1">
        <f t="array" ref="C22">INDEX(Optimization!$AT$4:$BW$33, INT((ROW()-1)/COLUMNS(Optimization!$AT$4:$BW$33))+1, MOD(ROW()-1, COLUMNS(Optimization!$AT$4:$BW$33))+1)</f>
        <v>0</v>
      </c>
    </row>
    <row r="23" spans="1:3" x14ac:dyDescent="0.25">
      <c r="A23">
        <v>23</v>
      </c>
      <c r="B23" cm="1">
        <f t="array" ref="B23">INDEX(Optimization!$F$4:$AI$33, INT((ROW()-1)/COLUMNS(Optimization!$F$4:$AI$33))+1, MOD(ROW()-1, COLUMNS(Optimization!$F$4:$AI$33))+1)</f>
        <v>0.40771738138442598</v>
      </c>
      <c r="C23" cm="1">
        <f t="array" ref="C23">INDEX(Optimization!$AT$4:$BW$33, INT((ROW()-1)/COLUMNS(Optimization!$AT$4:$BW$33))+1, MOD(ROW()-1, COLUMNS(Optimization!$AT$4:$BW$33))+1)</f>
        <v>0</v>
      </c>
    </row>
    <row r="24" spans="1:3" x14ac:dyDescent="0.25">
      <c r="A24">
        <v>24</v>
      </c>
      <c r="B24" cm="1">
        <f t="array" ref="B24">INDEX(Optimization!$F$4:$AI$33, INT((ROW()-1)/COLUMNS(Optimization!$F$4:$AI$33))+1, MOD(ROW()-1, COLUMNS(Optimization!$F$4:$AI$33))+1)</f>
        <v>-1.07955909697361</v>
      </c>
      <c r="C24" cm="1">
        <f t="array" ref="C24">INDEX(Optimization!$AT$4:$BW$33, INT((ROW()-1)/COLUMNS(Optimization!$AT$4:$BW$33))+1, MOD(ROW()-1, COLUMNS(Optimization!$AT$4:$BW$33))+1)</f>
        <v>0</v>
      </c>
    </row>
    <row r="25" spans="1:3" x14ac:dyDescent="0.25">
      <c r="A25">
        <v>25</v>
      </c>
      <c r="B25" cm="1">
        <f t="array" ref="B25">INDEX(Optimization!$F$4:$AI$33, INT((ROW()-1)/COLUMNS(Optimization!$F$4:$AI$33))+1, MOD(ROW()-1, COLUMNS(Optimization!$F$4:$AI$33))+1)</f>
        <v>-0.399086772003309</v>
      </c>
      <c r="C25" cm="1">
        <f t="array" ref="C25">INDEX(Optimization!$AT$4:$BW$33, INT((ROW()-1)/COLUMNS(Optimization!$AT$4:$BW$33))+1, MOD(ROW()-1, COLUMNS(Optimization!$AT$4:$BW$33))+1)</f>
        <v>0</v>
      </c>
    </row>
    <row r="26" spans="1:3" x14ac:dyDescent="0.25">
      <c r="A26">
        <v>26</v>
      </c>
      <c r="B26" cm="1">
        <f t="array" ref="B26">INDEX(Optimization!$F$4:$AI$33, INT((ROW()-1)/COLUMNS(Optimization!$F$4:$AI$33))+1, MOD(ROW()-1, COLUMNS(Optimization!$F$4:$AI$33))+1)</f>
        <v>-0.29849895313538799</v>
      </c>
      <c r="C26" cm="1">
        <f t="array" ref="C26">INDEX(Optimization!$AT$4:$BW$33, INT((ROW()-1)/COLUMNS(Optimization!$AT$4:$BW$33))+1, MOD(ROW()-1, COLUMNS(Optimization!$AT$4:$BW$33))+1)</f>
        <v>0</v>
      </c>
    </row>
    <row r="27" spans="1:3" x14ac:dyDescent="0.25">
      <c r="A27">
        <v>27</v>
      </c>
      <c r="B27" cm="1">
        <f t="array" ref="B27">INDEX(Optimization!$F$4:$AI$33, INT((ROW()-1)/COLUMNS(Optimization!$F$4:$AI$33))+1, MOD(ROW()-1, COLUMNS(Optimization!$F$4:$AI$33))+1)</f>
        <v>-0.123061200463822</v>
      </c>
      <c r="C27" cm="1">
        <f t="array" ref="C27">INDEX(Optimization!$AT$4:$BW$33, INT((ROW()-1)/COLUMNS(Optimization!$AT$4:$BW$33))+1, MOD(ROW()-1, COLUMNS(Optimization!$AT$4:$BW$33))+1)</f>
        <v>0</v>
      </c>
    </row>
    <row r="28" spans="1:3" x14ac:dyDescent="0.25">
      <c r="A28">
        <v>28</v>
      </c>
      <c r="B28" cm="1">
        <f t="array" ref="B28">INDEX(Optimization!$F$4:$AI$33, INT((ROW()-1)/COLUMNS(Optimization!$F$4:$AI$33))+1, MOD(ROW()-1, COLUMNS(Optimization!$F$4:$AI$33))+1)</f>
        <v>-0.10603838279668901</v>
      </c>
      <c r="C28" cm="1">
        <f t="array" ref="C28">INDEX(Optimization!$AT$4:$BW$33, INT((ROW()-1)/COLUMNS(Optimization!$AT$4:$BW$33))+1, MOD(ROW()-1, COLUMNS(Optimization!$AT$4:$BW$33))+1)</f>
        <v>0</v>
      </c>
    </row>
    <row r="29" spans="1:3" x14ac:dyDescent="0.25">
      <c r="A29">
        <v>29</v>
      </c>
      <c r="B29" cm="1">
        <f t="array" ref="B29">INDEX(Optimization!$F$4:$AI$33, INT((ROW()-1)/COLUMNS(Optimization!$F$4:$AI$33))+1, MOD(ROW()-1, COLUMNS(Optimization!$F$4:$AI$33))+1)</f>
        <v>-1.3282765069042199</v>
      </c>
      <c r="C29" cm="1">
        <f t="array" ref="C29">INDEX(Optimization!$AT$4:$BW$33, INT((ROW()-1)/COLUMNS(Optimization!$AT$4:$BW$33))+1, MOD(ROW()-1, COLUMNS(Optimization!$AT$4:$BW$33))+1)</f>
        <v>0</v>
      </c>
    </row>
    <row r="30" spans="1:3" x14ac:dyDescent="0.25">
      <c r="A30">
        <v>30</v>
      </c>
      <c r="B30" cm="1">
        <f t="array" ref="B30">INDEX(Optimization!$F$4:$AI$33, INT((ROW()-1)/COLUMNS(Optimization!$F$4:$AI$33))+1, MOD(ROW()-1, COLUMNS(Optimization!$F$4:$AI$33))+1)</f>
        <v>1.2318340230076601</v>
      </c>
      <c r="C30" cm="1">
        <f t="array" ref="C30">INDEX(Optimization!$AT$4:$BW$33, INT((ROW()-1)/COLUMNS(Optimization!$AT$4:$BW$33))+1, MOD(ROW()-1, COLUMNS(Optimization!$AT$4:$BW$33))+1)</f>
        <v>0</v>
      </c>
    </row>
    <row r="31" spans="1:3" x14ac:dyDescent="0.25">
      <c r="A31">
        <v>31</v>
      </c>
      <c r="B31" cm="1">
        <f t="array" ref="B31">INDEX(Optimization!$F$4:$AI$33, INT((ROW()-1)/COLUMNS(Optimization!$F$4:$AI$33))+1, MOD(ROW()-1, COLUMNS(Optimization!$F$4:$AI$33))+1)</f>
        <v>1.6365299839493099</v>
      </c>
      <c r="C31" cm="1">
        <f t="array" ref="C31">INDEX(Optimization!$AT$4:$BW$33, INT((ROW()-1)/COLUMNS(Optimization!$AT$4:$BW$33))+1, MOD(ROW()-1, COLUMNS(Optimization!$AT$4:$BW$33))+1)</f>
        <v>0</v>
      </c>
    </row>
    <row r="32" spans="1:3" x14ac:dyDescent="0.25">
      <c r="A32">
        <v>32</v>
      </c>
      <c r="B32" cm="1">
        <f t="array" ref="B32">INDEX(Optimization!$F$4:$AI$33, INT((ROW()-1)/COLUMNS(Optimization!$F$4:$AI$33))+1, MOD(ROW()-1, COLUMNS(Optimization!$F$4:$AI$33))+1)</f>
        <v>0</v>
      </c>
      <c r="C32" cm="1">
        <f t="array" ref="C32">INDEX(Optimization!$AT$4:$BW$33, INT((ROW()-1)/COLUMNS(Optimization!$AT$4:$BW$33))+1, MOD(ROW()-1, COLUMNS(Optimization!$AT$4:$BW$33))+1)</f>
        <v>0</v>
      </c>
    </row>
    <row r="33" spans="1:3" x14ac:dyDescent="0.25">
      <c r="A33">
        <v>33</v>
      </c>
      <c r="B33" cm="1">
        <f t="array" ref="B33">INDEX(Optimization!$F$4:$AI$33, INT((ROW()-1)/COLUMNS(Optimization!$F$4:$AI$33))+1, MOD(ROW()-1, COLUMNS(Optimization!$F$4:$AI$33))+1)</f>
        <v>-0.82264505402077803</v>
      </c>
      <c r="C33" cm="1">
        <f t="array" ref="C33">INDEX(Optimization!$AT$4:$BW$33, INT((ROW()-1)/COLUMNS(Optimization!$AT$4:$BW$33))+1, MOD(ROW()-1, COLUMNS(Optimization!$AT$4:$BW$33))+1)</f>
        <v>0</v>
      </c>
    </row>
    <row r="34" spans="1:3" x14ac:dyDescent="0.25">
      <c r="A34">
        <v>34</v>
      </c>
      <c r="B34" cm="1">
        <f t="array" ref="B34">INDEX(Optimization!$F$4:$AI$33, INT((ROW()-1)/COLUMNS(Optimization!$F$4:$AI$33))+1, MOD(ROW()-1, COLUMNS(Optimization!$F$4:$AI$33))+1)</f>
        <v>0.28425622597655298</v>
      </c>
      <c r="C34" cm="1">
        <f t="array" ref="C34">INDEX(Optimization!$AT$4:$BW$33, INT((ROW()-1)/COLUMNS(Optimization!$AT$4:$BW$33))+1, MOD(ROW()-1, COLUMNS(Optimization!$AT$4:$BW$33))+1)</f>
        <v>0</v>
      </c>
    </row>
    <row r="35" spans="1:3" x14ac:dyDescent="0.25">
      <c r="A35">
        <v>35</v>
      </c>
      <c r="B35" cm="1">
        <f t="array" ref="B35">INDEX(Optimization!$F$4:$AI$33, INT((ROW()-1)/COLUMNS(Optimization!$F$4:$AI$33))+1, MOD(ROW()-1, COLUMNS(Optimization!$F$4:$AI$33))+1)</f>
        <v>0.11543158508142599</v>
      </c>
      <c r="C35" cm="1">
        <f t="array" ref="C35">INDEX(Optimization!$AT$4:$BW$33, INT((ROW()-1)/COLUMNS(Optimization!$AT$4:$BW$33))+1, MOD(ROW()-1, COLUMNS(Optimization!$AT$4:$BW$33))+1)</f>
        <v>0</v>
      </c>
    </row>
    <row r="36" spans="1:3" x14ac:dyDescent="0.25">
      <c r="A36">
        <v>36</v>
      </c>
      <c r="B36" cm="1">
        <f t="array" ref="B36">INDEX(Optimization!$F$4:$AI$33, INT((ROW()-1)/COLUMNS(Optimization!$F$4:$AI$33))+1, MOD(ROW()-1, COLUMNS(Optimization!$F$4:$AI$33))+1)</f>
        <v>0.29080761148566098</v>
      </c>
      <c r="C36" cm="1">
        <f t="array" ref="C36">INDEX(Optimization!$AT$4:$BW$33, INT((ROW()-1)/COLUMNS(Optimization!$AT$4:$BW$33))+1, MOD(ROW()-1, COLUMNS(Optimization!$AT$4:$BW$33))+1)</f>
        <v>0</v>
      </c>
    </row>
    <row r="37" spans="1:3" x14ac:dyDescent="0.25">
      <c r="A37">
        <v>37</v>
      </c>
      <c r="B37" cm="1">
        <f t="array" ref="B37">INDEX(Optimization!$F$4:$AI$33, INT((ROW()-1)/COLUMNS(Optimization!$F$4:$AI$33))+1, MOD(ROW()-1, COLUMNS(Optimization!$F$4:$AI$33))+1)</f>
        <v>0.87348694870903398</v>
      </c>
      <c r="C37" cm="1">
        <f t="array" ref="C37">INDEX(Optimization!$AT$4:$BW$33, INT((ROW()-1)/COLUMNS(Optimization!$AT$4:$BW$33))+1, MOD(ROW()-1, COLUMNS(Optimization!$AT$4:$BW$33))+1)</f>
        <v>0</v>
      </c>
    </row>
    <row r="38" spans="1:3" x14ac:dyDescent="0.25">
      <c r="A38">
        <v>38</v>
      </c>
      <c r="B38" cm="1">
        <f t="array" ref="B38">INDEX(Optimization!$F$4:$AI$33, INT((ROW()-1)/COLUMNS(Optimization!$F$4:$AI$33))+1, MOD(ROW()-1, COLUMNS(Optimization!$F$4:$AI$33))+1)</f>
        <v>0.86840686751216201</v>
      </c>
      <c r="C38" cm="1">
        <f t="array" ref="C38">INDEX(Optimization!$AT$4:$BW$33, INT((ROW()-1)/COLUMNS(Optimization!$AT$4:$BW$33))+1, MOD(ROW()-1, COLUMNS(Optimization!$AT$4:$BW$33))+1)</f>
        <v>0</v>
      </c>
    </row>
    <row r="39" spans="1:3" x14ac:dyDescent="0.25">
      <c r="A39">
        <v>39</v>
      </c>
      <c r="B39" cm="1">
        <f t="array" ref="B39">INDEX(Optimization!$F$4:$AI$33, INT((ROW()-1)/COLUMNS(Optimization!$F$4:$AI$33))+1, MOD(ROW()-1, COLUMNS(Optimization!$F$4:$AI$33))+1)</f>
        <v>-0.74805022331696003</v>
      </c>
      <c r="C39" cm="1">
        <f t="array" ref="C39">INDEX(Optimization!$AT$4:$BW$33, INT((ROW()-1)/COLUMNS(Optimization!$AT$4:$BW$33))+1, MOD(ROW()-1, COLUMNS(Optimization!$AT$4:$BW$33))+1)</f>
        <v>0</v>
      </c>
    </row>
    <row r="40" spans="1:3" x14ac:dyDescent="0.25">
      <c r="A40">
        <v>40</v>
      </c>
      <c r="B40" cm="1">
        <f t="array" ref="B40">INDEX(Optimization!$F$4:$AI$33, INT((ROW()-1)/COLUMNS(Optimization!$F$4:$AI$33))+1, MOD(ROW()-1, COLUMNS(Optimization!$F$4:$AI$33))+1)</f>
        <v>-0.53243155290007504</v>
      </c>
      <c r="C40" cm="1">
        <f t="array" ref="C40">INDEX(Optimization!$AT$4:$BW$33, INT((ROW()-1)/COLUMNS(Optimization!$AT$4:$BW$33))+1, MOD(ROW()-1, COLUMNS(Optimization!$AT$4:$BW$33))+1)</f>
        <v>0</v>
      </c>
    </row>
    <row r="41" spans="1:3" x14ac:dyDescent="0.25">
      <c r="A41">
        <v>41</v>
      </c>
      <c r="B41" cm="1">
        <f t="array" ref="B41">INDEX(Optimization!$F$4:$AI$33, INT((ROW()-1)/COLUMNS(Optimization!$F$4:$AI$33))+1, MOD(ROW()-1, COLUMNS(Optimization!$F$4:$AI$33))+1)</f>
        <v>0.55826105369667101</v>
      </c>
      <c r="C41" cm="1">
        <f t="array" ref="C41">INDEX(Optimization!$AT$4:$BW$33, INT((ROW()-1)/COLUMNS(Optimization!$AT$4:$BW$33))+1, MOD(ROW()-1, COLUMNS(Optimization!$AT$4:$BW$33))+1)</f>
        <v>0</v>
      </c>
    </row>
    <row r="42" spans="1:3" x14ac:dyDescent="0.25">
      <c r="A42">
        <v>42</v>
      </c>
      <c r="B42" cm="1">
        <f t="array" ref="B42">INDEX(Optimization!$F$4:$AI$33, INT((ROW()-1)/COLUMNS(Optimization!$F$4:$AI$33))+1, MOD(ROW()-1, COLUMNS(Optimization!$F$4:$AI$33))+1)</f>
        <v>0.25207588096982297</v>
      </c>
      <c r="C42" cm="1">
        <f t="array" ref="C42">INDEX(Optimization!$AT$4:$BW$33, INT((ROW()-1)/COLUMNS(Optimization!$AT$4:$BW$33))+1, MOD(ROW()-1, COLUMNS(Optimization!$AT$4:$BW$33))+1)</f>
        <v>0</v>
      </c>
    </row>
    <row r="43" spans="1:3" x14ac:dyDescent="0.25">
      <c r="A43">
        <v>43</v>
      </c>
      <c r="B43" cm="1">
        <f t="array" ref="B43">INDEX(Optimization!$F$4:$AI$33, INT((ROW()-1)/COLUMNS(Optimization!$F$4:$AI$33))+1, MOD(ROW()-1, COLUMNS(Optimization!$F$4:$AI$33))+1)</f>
        <v>-0.76817790759372895</v>
      </c>
      <c r="C43" cm="1">
        <f t="array" ref="C43">INDEX(Optimization!$AT$4:$BW$33, INT((ROW()-1)/COLUMNS(Optimization!$AT$4:$BW$33))+1, MOD(ROW()-1, COLUMNS(Optimization!$AT$4:$BW$33))+1)</f>
        <v>0</v>
      </c>
    </row>
    <row r="44" spans="1:3" x14ac:dyDescent="0.25">
      <c r="A44">
        <v>44</v>
      </c>
      <c r="B44" cm="1">
        <f t="array" ref="B44">INDEX(Optimization!$F$4:$AI$33, INT((ROW()-1)/COLUMNS(Optimization!$F$4:$AI$33))+1, MOD(ROW()-1, COLUMNS(Optimization!$F$4:$AI$33))+1)</f>
        <v>-0.56065515351138095</v>
      </c>
      <c r="C44" cm="1">
        <f t="array" ref="C44">INDEX(Optimization!$AT$4:$BW$33, INT((ROW()-1)/COLUMNS(Optimization!$AT$4:$BW$33))+1, MOD(ROW()-1, COLUMNS(Optimization!$AT$4:$BW$33))+1)</f>
        <v>0</v>
      </c>
    </row>
    <row r="45" spans="1:3" x14ac:dyDescent="0.25">
      <c r="A45">
        <v>45</v>
      </c>
      <c r="B45" cm="1">
        <f t="array" ref="B45">INDEX(Optimization!$F$4:$AI$33, INT((ROW()-1)/COLUMNS(Optimization!$F$4:$AI$33))+1, MOD(ROW()-1, COLUMNS(Optimization!$F$4:$AI$33))+1)</f>
        <v>0.23868079185138599</v>
      </c>
      <c r="C45" cm="1">
        <f t="array" ref="C45">INDEX(Optimization!$AT$4:$BW$33, INT((ROW()-1)/COLUMNS(Optimization!$AT$4:$BW$33))+1, MOD(ROW()-1, COLUMNS(Optimization!$AT$4:$BW$33))+1)</f>
        <v>0</v>
      </c>
    </row>
    <row r="46" spans="1:3" x14ac:dyDescent="0.25">
      <c r="A46">
        <v>46</v>
      </c>
      <c r="B46" cm="1">
        <f t="array" ref="B46">INDEX(Optimization!$F$4:$AI$33, INT((ROW()-1)/COLUMNS(Optimization!$F$4:$AI$33))+1, MOD(ROW()-1, COLUMNS(Optimization!$F$4:$AI$33))+1)</f>
        <v>-0.51998536791433203</v>
      </c>
      <c r="C46" cm="1">
        <f t="array" ref="C46">INDEX(Optimization!$AT$4:$BW$33, INT((ROW()-1)/COLUMNS(Optimization!$AT$4:$BW$33))+1, MOD(ROW()-1, COLUMNS(Optimization!$AT$4:$BW$33))+1)</f>
        <v>0</v>
      </c>
    </row>
    <row r="47" spans="1:3" x14ac:dyDescent="0.25">
      <c r="A47">
        <v>47</v>
      </c>
      <c r="B47" cm="1">
        <f t="array" ref="B47">INDEX(Optimization!$F$4:$AI$33, INT((ROW()-1)/COLUMNS(Optimization!$F$4:$AI$33))+1, MOD(ROW()-1, COLUMNS(Optimization!$F$4:$AI$33))+1)</f>
        <v>0.82943828868754499</v>
      </c>
      <c r="C47" cm="1">
        <f t="array" ref="C47">INDEX(Optimization!$AT$4:$BW$33, INT((ROW()-1)/COLUMNS(Optimization!$AT$4:$BW$33))+1, MOD(ROW()-1, COLUMNS(Optimization!$AT$4:$BW$33))+1)</f>
        <v>0</v>
      </c>
    </row>
    <row r="48" spans="1:3" x14ac:dyDescent="0.25">
      <c r="A48">
        <v>48</v>
      </c>
      <c r="B48" cm="1">
        <f t="array" ref="B48">INDEX(Optimization!$F$4:$AI$33, INT((ROW()-1)/COLUMNS(Optimization!$F$4:$AI$33))+1, MOD(ROW()-1, COLUMNS(Optimization!$F$4:$AI$33))+1)</f>
        <v>0.74021598554684498</v>
      </c>
      <c r="C48" cm="1">
        <f t="array" ref="C48">INDEX(Optimization!$AT$4:$BW$33, INT((ROW()-1)/COLUMNS(Optimization!$AT$4:$BW$33))+1, MOD(ROW()-1, COLUMNS(Optimization!$AT$4:$BW$33))+1)</f>
        <v>0</v>
      </c>
    </row>
    <row r="49" spans="1:3" x14ac:dyDescent="0.25">
      <c r="A49">
        <v>49</v>
      </c>
      <c r="B49" cm="1">
        <f t="array" ref="B49">INDEX(Optimization!$F$4:$AI$33, INT((ROW()-1)/COLUMNS(Optimization!$F$4:$AI$33))+1, MOD(ROW()-1, COLUMNS(Optimization!$F$4:$AI$33))+1)</f>
        <v>-0.76137589916465598</v>
      </c>
      <c r="C49" cm="1">
        <f t="array" ref="C49">INDEX(Optimization!$AT$4:$BW$33, INT((ROW()-1)/COLUMNS(Optimization!$AT$4:$BW$33))+1, MOD(ROW()-1, COLUMNS(Optimization!$AT$4:$BW$33))+1)</f>
        <v>0</v>
      </c>
    </row>
    <row r="50" spans="1:3" x14ac:dyDescent="0.25">
      <c r="A50">
        <v>50</v>
      </c>
      <c r="B50" cm="1">
        <f t="array" ref="B50">INDEX(Optimization!$F$4:$AI$33, INT((ROW()-1)/COLUMNS(Optimization!$F$4:$AI$33))+1, MOD(ROW()-1, COLUMNS(Optimization!$F$4:$AI$33))+1)</f>
        <v>0.65205850657589703</v>
      </c>
      <c r="C50" cm="1">
        <f t="array" ref="C50">INDEX(Optimization!$AT$4:$BW$33, INT((ROW()-1)/COLUMNS(Optimization!$AT$4:$BW$33))+1, MOD(ROW()-1, COLUMNS(Optimization!$AT$4:$BW$33))+1)</f>
        <v>0</v>
      </c>
    </row>
    <row r="51" spans="1:3" x14ac:dyDescent="0.25">
      <c r="A51">
        <v>51</v>
      </c>
      <c r="B51" cm="1">
        <f t="array" ref="B51">INDEX(Optimization!$F$4:$AI$33, INT((ROW()-1)/COLUMNS(Optimization!$F$4:$AI$33))+1, MOD(ROW()-1, COLUMNS(Optimization!$F$4:$AI$33))+1)</f>
        <v>-1.2483209207069501</v>
      </c>
      <c r="C51" cm="1">
        <f t="array" ref="C51">INDEX(Optimization!$AT$4:$BW$33, INT((ROW()-1)/COLUMNS(Optimization!$AT$4:$BW$33))+1, MOD(ROW()-1, COLUMNS(Optimization!$AT$4:$BW$33))+1)</f>
        <v>0</v>
      </c>
    </row>
    <row r="52" spans="1:3" x14ac:dyDescent="0.25">
      <c r="A52">
        <v>52</v>
      </c>
      <c r="B52" cm="1">
        <f t="array" ref="B52">INDEX(Optimization!$F$4:$AI$33, INT((ROW()-1)/COLUMNS(Optimization!$F$4:$AI$33))+1, MOD(ROW()-1, COLUMNS(Optimization!$F$4:$AI$33))+1)</f>
        <v>0.72726529968932996</v>
      </c>
      <c r="C52" cm="1">
        <f t="array" ref="C52">INDEX(Optimization!$AT$4:$BW$33, INT((ROW()-1)/COLUMNS(Optimization!$AT$4:$BW$33))+1, MOD(ROW()-1, COLUMNS(Optimization!$AT$4:$BW$33))+1)</f>
        <v>0</v>
      </c>
    </row>
    <row r="53" spans="1:3" x14ac:dyDescent="0.25">
      <c r="A53">
        <v>53</v>
      </c>
      <c r="B53" cm="1">
        <f t="array" ref="B53">INDEX(Optimization!$F$4:$AI$33, INT((ROW()-1)/COLUMNS(Optimization!$F$4:$AI$33))+1, MOD(ROW()-1, COLUMNS(Optimization!$F$4:$AI$33))+1)</f>
        <v>0.240173956648113</v>
      </c>
      <c r="C53" cm="1">
        <f t="array" ref="C53">INDEX(Optimization!$AT$4:$BW$33, INT((ROW()-1)/COLUMNS(Optimization!$AT$4:$BW$33))+1, MOD(ROW()-1, COLUMNS(Optimization!$AT$4:$BW$33))+1)</f>
        <v>0</v>
      </c>
    </row>
    <row r="54" spans="1:3" x14ac:dyDescent="0.25">
      <c r="A54">
        <v>54</v>
      </c>
      <c r="B54" cm="1">
        <f t="array" ref="B54">INDEX(Optimization!$F$4:$AI$33, INT((ROW()-1)/COLUMNS(Optimization!$F$4:$AI$33))+1, MOD(ROW()-1, COLUMNS(Optimization!$F$4:$AI$33))+1)</f>
        <v>1.43037744714909</v>
      </c>
      <c r="C54" cm="1">
        <f t="array" ref="C54">INDEX(Optimization!$AT$4:$BW$33, INT((ROW()-1)/COLUMNS(Optimization!$AT$4:$BW$33))+1, MOD(ROW()-1, COLUMNS(Optimization!$AT$4:$BW$33))+1)</f>
        <v>0</v>
      </c>
    </row>
    <row r="55" spans="1:3" x14ac:dyDescent="0.25">
      <c r="A55">
        <v>55</v>
      </c>
      <c r="B55" cm="1">
        <f t="array" ref="B55">INDEX(Optimization!$F$4:$AI$33, INT((ROW()-1)/COLUMNS(Optimization!$F$4:$AI$33))+1, MOD(ROW()-1, COLUMNS(Optimization!$F$4:$AI$33))+1)</f>
        <v>0.73773059316831002</v>
      </c>
      <c r="C55" cm="1">
        <f t="array" ref="C55">INDEX(Optimization!$AT$4:$BW$33, INT((ROW()-1)/COLUMNS(Optimization!$AT$4:$BW$33))+1, MOD(ROW()-1, COLUMNS(Optimization!$AT$4:$BW$33))+1)</f>
        <v>0</v>
      </c>
    </row>
    <row r="56" spans="1:3" x14ac:dyDescent="0.25">
      <c r="A56">
        <v>56</v>
      </c>
      <c r="B56" cm="1">
        <f t="array" ref="B56">INDEX(Optimization!$F$4:$AI$33, INT((ROW()-1)/COLUMNS(Optimization!$F$4:$AI$33))+1, MOD(ROW()-1, COLUMNS(Optimization!$F$4:$AI$33))+1)</f>
        <v>-1.18371381814941</v>
      </c>
      <c r="C56" cm="1">
        <f t="array" ref="C56">INDEX(Optimization!$AT$4:$BW$33, INT((ROW()-1)/COLUMNS(Optimization!$AT$4:$BW$33))+1, MOD(ROW()-1, COLUMNS(Optimization!$AT$4:$BW$33))+1)</f>
        <v>0</v>
      </c>
    </row>
    <row r="57" spans="1:3" x14ac:dyDescent="0.25">
      <c r="A57">
        <v>57</v>
      </c>
      <c r="B57" cm="1">
        <f t="array" ref="B57">INDEX(Optimization!$F$4:$AI$33, INT((ROW()-1)/COLUMNS(Optimization!$F$4:$AI$33))+1, MOD(ROW()-1, COLUMNS(Optimization!$F$4:$AI$33))+1)</f>
        <v>1.3568087572805801E-2</v>
      </c>
      <c r="C57" cm="1">
        <f t="array" ref="C57">INDEX(Optimization!$AT$4:$BW$33, INT((ROW()-1)/COLUMNS(Optimization!$AT$4:$BW$33))+1, MOD(ROW()-1, COLUMNS(Optimization!$AT$4:$BW$33))+1)</f>
        <v>0</v>
      </c>
    </row>
    <row r="58" spans="1:3" x14ac:dyDescent="0.25">
      <c r="A58">
        <v>58</v>
      </c>
      <c r="B58" cm="1">
        <f t="array" ref="B58">INDEX(Optimization!$F$4:$AI$33, INT((ROW()-1)/COLUMNS(Optimization!$F$4:$AI$33))+1, MOD(ROW()-1, COLUMNS(Optimization!$F$4:$AI$33))+1)</f>
        <v>0.58846490525570305</v>
      </c>
      <c r="C58" cm="1">
        <f t="array" ref="C58">INDEX(Optimization!$AT$4:$BW$33, INT((ROW()-1)/COLUMNS(Optimization!$AT$4:$BW$33))+1, MOD(ROW()-1, COLUMNS(Optimization!$AT$4:$BW$33))+1)</f>
        <v>0</v>
      </c>
    </row>
    <row r="59" spans="1:3" x14ac:dyDescent="0.25">
      <c r="A59">
        <v>59</v>
      </c>
      <c r="B59" cm="1">
        <f t="array" ref="B59">INDEX(Optimization!$F$4:$AI$33, INT((ROW()-1)/COLUMNS(Optimization!$F$4:$AI$33))+1, MOD(ROW()-1, COLUMNS(Optimization!$F$4:$AI$33))+1)</f>
        <v>-0.29981922229539698</v>
      </c>
      <c r="C59" cm="1">
        <f t="array" ref="C59">INDEX(Optimization!$AT$4:$BW$33, INT((ROW()-1)/COLUMNS(Optimization!$AT$4:$BW$33))+1, MOD(ROW()-1, COLUMNS(Optimization!$AT$4:$BW$33))+1)</f>
        <v>0</v>
      </c>
    </row>
    <row r="60" spans="1:3" x14ac:dyDescent="0.25">
      <c r="A60">
        <v>60</v>
      </c>
      <c r="B60" cm="1">
        <f t="array" ref="B60">INDEX(Optimization!$F$4:$AI$33, INT((ROW()-1)/COLUMNS(Optimization!$F$4:$AI$33))+1, MOD(ROW()-1, COLUMNS(Optimization!$F$4:$AI$33))+1)</f>
        <v>-1.4152707502880999</v>
      </c>
      <c r="C60" cm="1">
        <f t="array" ref="C60">INDEX(Optimization!$AT$4:$BW$33, INT((ROW()-1)/COLUMNS(Optimization!$AT$4:$BW$33))+1, MOD(ROW()-1, COLUMNS(Optimization!$AT$4:$BW$33))+1)</f>
        <v>0</v>
      </c>
    </row>
    <row r="61" spans="1:3" x14ac:dyDescent="0.25">
      <c r="A61">
        <v>61</v>
      </c>
      <c r="B61" cm="1">
        <f t="array" ref="B61">INDEX(Optimization!$F$4:$AI$33, INT((ROW()-1)/COLUMNS(Optimization!$F$4:$AI$33))+1, MOD(ROW()-1, COLUMNS(Optimization!$F$4:$AI$33))+1)</f>
        <v>0.14443891944626999</v>
      </c>
      <c r="C61" cm="1">
        <f t="array" ref="C61">INDEX(Optimization!$AT$4:$BW$33, INT((ROW()-1)/COLUMNS(Optimization!$AT$4:$BW$33))+1, MOD(ROW()-1, COLUMNS(Optimization!$AT$4:$BW$33))+1)</f>
        <v>0</v>
      </c>
    </row>
    <row r="62" spans="1:3" x14ac:dyDescent="0.25">
      <c r="A62">
        <v>62</v>
      </c>
      <c r="B62" cm="1">
        <f t="array" ref="B62">INDEX(Optimization!$F$4:$AI$33, INT((ROW()-1)/COLUMNS(Optimization!$F$4:$AI$33))+1, MOD(ROW()-1, COLUMNS(Optimization!$F$4:$AI$33))+1)</f>
        <v>-0.82264505402077803</v>
      </c>
      <c r="C62" cm="1">
        <f t="array" ref="C62">INDEX(Optimization!$AT$4:$BW$33, INT((ROW()-1)/COLUMNS(Optimization!$AT$4:$BW$33))+1, MOD(ROW()-1, COLUMNS(Optimization!$AT$4:$BW$33))+1)</f>
        <v>0</v>
      </c>
    </row>
    <row r="63" spans="1:3" x14ac:dyDescent="0.25">
      <c r="A63">
        <v>63</v>
      </c>
      <c r="B63" cm="1">
        <f t="array" ref="B63">INDEX(Optimization!$F$4:$AI$33, INT((ROW()-1)/COLUMNS(Optimization!$F$4:$AI$33))+1, MOD(ROW()-1, COLUMNS(Optimization!$F$4:$AI$33))+1)</f>
        <v>0</v>
      </c>
      <c r="C63" cm="1">
        <f t="array" ref="C63">INDEX(Optimization!$AT$4:$BW$33, INT((ROW()-1)/COLUMNS(Optimization!$AT$4:$BW$33))+1, MOD(ROW()-1, COLUMNS(Optimization!$AT$4:$BW$33))+1)</f>
        <v>0</v>
      </c>
    </row>
    <row r="64" spans="1:3" x14ac:dyDescent="0.25">
      <c r="A64">
        <v>64</v>
      </c>
      <c r="B64" cm="1">
        <f t="array" ref="B64">INDEX(Optimization!$F$4:$AI$33, INT((ROW()-1)/COLUMNS(Optimization!$F$4:$AI$33))+1, MOD(ROW()-1, COLUMNS(Optimization!$F$4:$AI$33))+1)</f>
        <v>0.38129194601267002</v>
      </c>
      <c r="C64" cm="1">
        <f t="array" ref="C64">INDEX(Optimization!$AT$4:$BW$33, INT((ROW()-1)/COLUMNS(Optimization!$AT$4:$BW$33))+1, MOD(ROW()-1, COLUMNS(Optimization!$AT$4:$BW$33))+1)</f>
        <v>0</v>
      </c>
    </row>
    <row r="65" spans="1:3" x14ac:dyDescent="0.25">
      <c r="A65">
        <v>65</v>
      </c>
      <c r="B65" cm="1">
        <f t="array" ref="B65">INDEX(Optimization!$F$4:$AI$33, INT((ROW()-1)/COLUMNS(Optimization!$F$4:$AI$33))+1, MOD(ROW()-1, COLUMNS(Optimization!$F$4:$AI$33))+1)</f>
        <v>-0.57605927456688699</v>
      </c>
      <c r="C65" cm="1">
        <f t="array" ref="C65">INDEX(Optimization!$AT$4:$BW$33, INT((ROW()-1)/COLUMNS(Optimization!$AT$4:$BW$33))+1, MOD(ROW()-1, COLUMNS(Optimization!$AT$4:$BW$33))+1)</f>
        <v>0</v>
      </c>
    </row>
    <row r="66" spans="1:3" x14ac:dyDescent="0.25">
      <c r="A66">
        <v>66</v>
      </c>
      <c r="B66" cm="1">
        <f t="array" ref="B66">INDEX(Optimization!$F$4:$AI$33, INT((ROW()-1)/COLUMNS(Optimization!$F$4:$AI$33))+1, MOD(ROW()-1, COLUMNS(Optimization!$F$4:$AI$33))+1)</f>
        <v>4.9849462687683303E-2</v>
      </c>
      <c r="C66" cm="1">
        <f t="array" ref="C66">INDEX(Optimization!$AT$4:$BW$33, INT((ROW()-1)/COLUMNS(Optimization!$AT$4:$BW$33))+1, MOD(ROW()-1, COLUMNS(Optimization!$AT$4:$BW$33))+1)</f>
        <v>0</v>
      </c>
    </row>
    <row r="67" spans="1:3" x14ac:dyDescent="0.25">
      <c r="A67">
        <v>67</v>
      </c>
      <c r="B67" cm="1">
        <f t="array" ref="B67">INDEX(Optimization!$F$4:$AI$33, INT((ROW()-1)/COLUMNS(Optimization!$F$4:$AI$33))+1, MOD(ROW()-1, COLUMNS(Optimization!$F$4:$AI$33))+1)</f>
        <v>1.8890548645546701E-3</v>
      </c>
      <c r="C67" cm="1">
        <f t="array" ref="C67">INDEX(Optimization!$AT$4:$BW$33, INT((ROW()-1)/COLUMNS(Optimization!$AT$4:$BW$33))+1, MOD(ROW()-1, COLUMNS(Optimization!$AT$4:$BW$33))+1)</f>
        <v>0</v>
      </c>
    </row>
    <row r="68" spans="1:3" x14ac:dyDescent="0.25">
      <c r="A68">
        <v>68</v>
      </c>
      <c r="B68" cm="1">
        <f t="array" ref="B68">INDEX(Optimization!$F$4:$AI$33, INT((ROW()-1)/COLUMNS(Optimization!$F$4:$AI$33))+1, MOD(ROW()-1, COLUMNS(Optimization!$F$4:$AI$33))+1)</f>
        <v>-0.37573238534937697</v>
      </c>
      <c r="C68" cm="1">
        <f t="array" ref="C68">INDEX(Optimization!$AT$4:$BW$33, INT((ROW()-1)/COLUMNS(Optimization!$AT$4:$BW$33))+1, MOD(ROW()-1, COLUMNS(Optimization!$AT$4:$BW$33))+1)</f>
        <v>0</v>
      </c>
    </row>
    <row r="69" spans="1:3" x14ac:dyDescent="0.25">
      <c r="A69">
        <v>69</v>
      </c>
      <c r="B69" cm="1">
        <f t="array" ref="B69">INDEX(Optimization!$F$4:$AI$33, INT((ROW()-1)/COLUMNS(Optimization!$F$4:$AI$33))+1, MOD(ROW()-1, COLUMNS(Optimization!$F$4:$AI$33))+1)</f>
        <v>-0.45493069651093498</v>
      </c>
      <c r="C69" cm="1">
        <f t="array" ref="C69">INDEX(Optimization!$AT$4:$BW$33, INT((ROW()-1)/COLUMNS(Optimization!$AT$4:$BW$33))+1, MOD(ROW()-1, COLUMNS(Optimization!$AT$4:$BW$33))+1)</f>
        <v>0</v>
      </c>
    </row>
    <row r="70" spans="1:3" x14ac:dyDescent="0.25">
      <c r="A70">
        <v>70</v>
      </c>
      <c r="B70" cm="1">
        <f t="array" ref="B70">INDEX(Optimization!$F$4:$AI$33, INT((ROW()-1)/COLUMNS(Optimization!$F$4:$AI$33))+1, MOD(ROW()-1, COLUMNS(Optimization!$F$4:$AI$33))+1)</f>
        <v>-0.73053561368001896</v>
      </c>
      <c r="C70" cm="1">
        <f t="array" ref="C70">INDEX(Optimization!$AT$4:$BW$33, INT((ROW()-1)/COLUMNS(Optimization!$AT$4:$BW$33))+1, MOD(ROW()-1, COLUMNS(Optimization!$AT$4:$BW$33))+1)</f>
        <v>0</v>
      </c>
    </row>
    <row r="71" spans="1:3" x14ac:dyDescent="0.25">
      <c r="A71">
        <v>71</v>
      </c>
      <c r="B71" cm="1">
        <f t="array" ref="B71">INDEX(Optimization!$F$4:$AI$33, INT((ROW()-1)/COLUMNS(Optimization!$F$4:$AI$33))+1, MOD(ROW()-1, COLUMNS(Optimization!$F$4:$AI$33))+1)</f>
        <v>-0.99248249543529199</v>
      </c>
      <c r="C71" cm="1">
        <f t="array" ref="C71">INDEX(Optimization!$AT$4:$BW$33, INT((ROW()-1)/COLUMNS(Optimization!$AT$4:$BW$33))+1, MOD(ROW()-1, COLUMNS(Optimization!$AT$4:$BW$33))+1)</f>
        <v>0</v>
      </c>
    </row>
    <row r="72" spans="1:3" x14ac:dyDescent="0.25">
      <c r="A72">
        <v>72</v>
      </c>
      <c r="B72" cm="1">
        <f t="array" ref="B72">INDEX(Optimization!$F$4:$AI$33, INT((ROW()-1)/COLUMNS(Optimization!$F$4:$AI$33))+1, MOD(ROW()-1, COLUMNS(Optimization!$F$4:$AI$33))+1)</f>
        <v>-0.60121156298853395</v>
      </c>
      <c r="C72" cm="1">
        <f t="array" ref="C72">INDEX(Optimization!$AT$4:$BW$33, INT((ROW()-1)/COLUMNS(Optimization!$AT$4:$BW$33))+1, MOD(ROW()-1, COLUMNS(Optimization!$AT$4:$BW$33))+1)</f>
        <v>0</v>
      </c>
    </row>
    <row r="73" spans="1:3" x14ac:dyDescent="0.25">
      <c r="A73">
        <v>73</v>
      </c>
      <c r="B73" cm="1">
        <f t="array" ref="B73">INDEX(Optimization!$F$4:$AI$33, INT((ROW()-1)/COLUMNS(Optimization!$F$4:$AI$33))+1, MOD(ROW()-1, COLUMNS(Optimization!$F$4:$AI$33))+1)</f>
        <v>0.210358878174745</v>
      </c>
      <c r="C73" cm="1">
        <f t="array" ref="C73">INDEX(Optimization!$AT$4:$BW$33, INT((ROW()-1)/COLUMNS(Optimization!$AT$4:$BW$33))+1, MOD(ROW()-1, COLUMNS(Optimization!$AT$4:$BW$33))+1)</f>
        <v>0</v>
      </c>
    </row>
    <row r="74" spans="1:3" x14ac:dyDescent="0.25">
      <c r="A74">
        <v>74</v>
      </c>
      <c r="B74" cm="1">
        <f t="array" ref="B74">INDEX(Optimization!$F$4:$AI$33, INT((ROW()-1)/COLUMNS(Optimization!$F$4:$AI$33))+1, MOD(ROW()-1, COLUMNS(Optimization!$F$4:$AI$33))+1)</f>
        <v>0.65818775705870902</v>
      </c>
      <c r="C74" cm="1">
        <f t="array" ref="C74">INDEX(Optimization!$AT$4:$BW$33, INT((ROW()-1)/COLUMNS(Optimization!$AT$4:$BW$33))+1, MOD(ROW()-1, COLUMNS(Optimization!$AT$4:$BW$33))+1)</f>
        <v>0</v>
      </c>
    </row>
    <row r="75" spans="1:3" x14ac:dyDescent="0.25">
      <c r="A75">
        <v>75</v>
      </c>
      <c r="B75" cm="1">
        <f t="array" ref="B75">INDEX(Optimization!$F$4:$AI$33, INT((ROW()-1)/COLUMNS(Optimization!$F$4:$AI$33))+1, MOD(ROW()-1, COLUMNS(Optimization!$F$4:$AI$33))+1)</f>
        <v>0.75447710896230202</v>
      </c>
      <c r="C75" cm="1">
        <f t="array" ref="C75">INDEX(Optimization!$AT$4:$BW$33, INT((ROW()-1)/COLUMNS(Optimization!$AT$4:$BW$33))+1, MOD(ROW()-1, COLUMNS(Optimization!$AT$4:$BW$33))+1)</f>
        <v>0</v>
      </c>
    </row>
    <row r="76" spans="1:3" x14ac:dyDescent="0.25">
      <c r="A76">
        <v>76</v>
      </c>
      <c r="B76" cm="1">
        <f t="array" ref="B76">INDEX(Optimization!$F$4:$AI$33, INT((ROW()-1)/COLUMNS(Optimization!$F$4:$AI$33))+1, MOD(ROW()-1, COLUMNS(Optimization!$F$4:$AI$33))+1)</f>
        <v>-0.95923461186473602</v>
      </c>
      <c r="C76" cm="1">
        <f t="array" ref="C76">INDEX(Optimization!$AT$4:$BW$33, INT((ROW()-1)/COLUMNS(Optimization!$AT$4:$BW$33))+1, MOD(ROW()-1, COLUMNS(Optimization!$AT$4:$BW$33))+1)</f>
        <v>0</v>
      </c>
    </row>
    <row r="77" spans="1:3" x14ac:dyDescent="0.25">
      <c r="A77">
        <v>77</v>
      </c>
      <c r="B77" cm="1">
        <f t="array" ref="B77">INDEX(Optimization!$F$4:$AI$33, INT((ROW()-1)/COLUMNS(Optimization!$F$4:$AI$33))+1, MOD(ROW()-1, COLUMNS(Optimization!$F$4:$AI$33))+1)</f>
        <v>-0.133686537214321</v>
      </c>
      <c r="C77" cm="1">
        <f t="array" ref="C77">INDEX(Optimization!$AT$4:$BW$33, INT((ROW()-1)/COLUMNS(Optimization!$AT$4:$BW$33))+1, MOD(ROW()-1, COLUMNS(Optimization!$AT$4:$BW$33))+1)</f>
        <v>0</v>
      </c>
    </row>
    <row r="78" spans="1:3" x14ac:dyDescent="0.25">
      <c r="A78">
        <v>78</v>
      </c>
      <c r="B78" cm="1">
        <f t="array" ref="B78">INDEX(Optimization!$F$4:$AI$33, INT((ROW()-1)/COLUMNS(Optimization!$F$4:$AI$33))+1, MOD(ROW()-1, COLUMNS(Optimization!$F$4:$AI$33))+1)</f>
        <v>0.47815306106753502</v>
      </c>
      <c r="C78" cm="1">
        <f t="array" ref="C78">INDEX(Optimization!$AT$4:$BW$33, INT((ROW()-1)/COLUMNS(Optimization!$AT$4:$BW$33))+1, MOD(ROW()-1, COLUMNS(Optimization!$AT$4:$BW$33))+1)</f>
        <v>0</v>
      </c>
    </row>
    <row r="79" spans="1:3" x14ac:dyDescent="0.25">
      <c r="A79">
        <v>79</v>
      </c>
      <c r="B79" cm="1">
        <f t="array" ref="B79">INDEX(Optimization!$F$4:$AI$33, INT((ROW()-1)/COLUMNS(Optimization!$F$4:$AI$33))+1, MOD(ROW()-1, COLUMNS(Optimization!$F$4:$AI$33))+1)</f>
        <v>0.84495080921130705</v>
      </c>
      <c r="C79" cm="1">
        <f t="array" ref="C79">INDEX(Optimization!$AT$4:$BW$33, INT((ROW()-1)/COLUMNS(Optimization!$AT$4:$BW$33))+1, MOD(ROW()-1, COLUMNS(Optimization!$AT$4:$BW$33))+1)</f>
        <v>0</v>
      </c>
    </row>
    <row r="80" spans="1:3" x14ac:dyDescent="0.25">
      <c r="A80">
        <v>80</v>
      </c>
      <c r="B80" cm="1">
        <f t="array" ref="B80">INDEX(Optimization!$F$4:$AI$33, INT((ROW()-1)/COLUMNS(Optimization!$F$4:$AI$33))+1, MOD(ROW()-1, COLUMNS(Optimization!$F$4:$AI$33))+1)</f>
        <v>1.0921517707169399</v>
      </c>
      <c r="C80" cm="1">
        <f t="array" ref="C80">INDEX(Optimization!$AT$4:$BW$33, INT((ROW()-1)/COLUMNS(Optimization!$AT$4:$BW$33))+1, MOD(ROW()-1, COLUMNS(Optimization!$AT$4:$BW$33))+1)</f>
        <v>0</v>
      </c>
    </row>
    <row r="81" spans="1:3" x14ac:dyDescent="0.25">
      <c r="A81">
        <v>81</v>
      </c>
      <c r="B81" cm="1">
        <f t="array" ref="B81">INDEX(Optimization!$F$4:$AI$33, INT((ROW()-1)/COLUMNS(Optimization!$F$4:$AI$33))+1, MOD(ROW()-1, COLUMNS(Optimization!$F$4:$AI$33))+1)</f>
        <v>-0.68134527140788304</v>
      </c>
      <c r="C81" cm="1">
        <f t="array" ref="C81">INDEX(Optimization!$AT$4:$BW$33, INT((ROW()-1)/COLUMNS(Optimization!$AT$4:$BW$33))+1, MOD(ROW()-1, COLUMNS(Optimization!$AT$4:$BW$33))+1)</f>
        <v>0</v>
      </c>
    </row>
    <row r="82" spans="1:3" x14ac:dyDescent="0.25">
      <c r="A82">
        <v>82</v>
      </c>
      <c r="B82" cm="1">
        <f t="array" ref="B82">INDEX(Optimization!$F$4:$AI$33, INT((ROW()-1)/COLUMNS(Optimization!$F$4:$AI$33))+1, MOD(ROW()-1, COLUMNS(Optimization!$F$4:$AI$33))+1)</f>
        <v>-0.16950786483098801</v>
      </c>
      <c r="C82" cm="1">
        <f t="array" ref="C82">INDEX(Optimization!$AT$4:$BW$33, INT((ROW()-1)/COLUMNS(Optimization!$AT$4:$BW$33))+1, MOD(ROW()-1, COLUMNS(Optimization!$AT$4:$BW$33))+1)</f>
        <v>0</v>
      </c>
    </row>
    <row r="83" spans="1:3" x14ac:dyDescent="0.25">
      <c r="A83">
        <v>83</v>
      </c>
      <c r="B83" cm="1">
        <f t="array" ref="B83">INDEX(Optimization!$F$4:$AI$33, INT((ROW()-1)/COLUMNS(Optimization!$F$4:$AI$33))+1, MOD(ROW()-1, COLUMNS(Optimization!$F$4:$AI$33))+1)</f>
        <v>-0.475760604848394</v>
      </c>
      <c r="C83" cm="1">
        <f t="array" ref="C83">INDEX(Optimization!$AT$4:$BW$33, INT((ROW()-1)/COLUMNS(Optimization!$AT$4:$BW$33))+1, MOD(ROW()-1, COLUMNS(Optimization!$AT$4:$BW$33))+1)</f>
        <v>0</v>
      </c>
    </row>
    <row r="84" spans="1:3" x14ac:dyDescent="0.25">
      <c r="A84">
        <v>84</v>
      </c>
      <c r="B84" cm="1">
        <f t="array" ref="B84">INDEX(Optimization!$F$4:$AI$33, INT((ROW()-1)/COLUMNS(Optimization!$F$4:$AI$33))+1, MOD(ROW()-1, COLUMNS(Optimization!$F$4:$AI$33))+1)</f>
        <v>0.390532211778785</v>
      </c>
      <c r="C84" cm="1">
        <f t="array" ref="C84">INDEX(Optimization!$AT$4:$BW$33, INT((ROW()-1)/COLUMNS(Optimization!$AT$4:$BW$33))+1, MOD(ROW()-1, COLUMNS(Optimization!$AT$4:$BW$33))+1)</f>
        <v>0</v>
      </c>
    </row>
    <row r="85" spans="1:3" x14ac:dyDescent="0.25">
      <c r="A85">
        <v>85</v>
      </c>
      <c r="B85" cm="1">
        <f t="array" ref="B85">INDEX(Optimization!$F$4:$AI$33, INT((ROW()-1)/COLUMNS(Optimization!$F$4:$AI$33))+1, MOD(ROW()-1, COLUMNS(Optimization!$F$4:$AI$33))+1)</f>
        <v>0.59821355644711105</v>
      </c>
      <c r="C85" cm="1">
        <f t="array" ref="C85">INDEX(Optimization!$AT$4:$BW$33, INT((ROW()-1)/COLUMNS(Optimization!$AT$4:$BW$33))+1, MOD(ROW()-1, COLUMNS(Optimization!$AT$4:$BW$33))+1)</f>
        <v>0</v>
      </c>
    </row>
    <row r="86" spans="1:3" x14ac:dyDescent="0.25">
      <c r="A86">
        <v>86</v>
      </c>
      <c r="B86" cm="1">
        <f t="array" ref="B86">INDEX(Optimization!$F$4:$AI$33, INT((ROW()-1)/COLUMNS(Optimization!$F$4:$AI$33))+1, MOD(ROW()-1, COLUMNS(Optimization!$F$4:$AI$33))+1)</f>
        <v>-0.48622794391304303</v>
      </c>
      <c r="C86" cm="1">
        <f t="array" ref="C86">INDEX(Optimization!$AT$4:$BW$33, INT((ROW()-1)/COLUMNS(Optimization!$AT$4:$BW$33))+1, MOD(ROW()-1, COLUMNS(Optimization!$AT$4:$BW$33))+1)</f>
        <v>0</v>
      </c>
    </row>
    <row r="87" spans="1:3" x14ac:dyDescent="0.25">
      <c r="A87">
        <v>87</v>
      </c>
      <c r="B87" cm="1">
        <f t="array" ref="B87">INDEX(Optimization!$F$4:$AI$33, INT((ROW()-1)/COLUMNS(Optimization!$F$4:$AI$33))+1, MOD(ROW()-1, COLUMNS(Optimization!$F$4:$AI$33))+1)</f>
        <v>-0.608131166551236</v>
      </c>
      <c r="C87" cm="1">
        <f t="array" ref="C87">INDEX(Optimization!$AT$4:$BW$33, INT((ROW()-1)/COLUMNS(Optimization!$AT$4:$BW$33))+1, MOD(ROW()-1, COLUMNS(Optimization!$AT$4:$BW$33))+1)</f>
        <v>0</v>
      </c>
    </row>
    <row r="88" spans="1:3" x14ac:dyDescent="0.25">
      <c r="A88">
        <v>88</v>
      </c>
      <c r="B88" cm="1">
        <f t="array" ref="B88">INDEX(Optimization!$F$4:$AI$33, INT((ROW()-1)/COLUMNS(Optimization!$F$4:$AI$33))+1, MOD(ROW()-1, COLUMNS(Optimization!$F$4:$AI$33))+1)</f>
        <v>0.670401649141806</v>
      </c>
      <c r="C88" cm="1">
        <f t="array" ref="C88">INDEX(Optimization!$AT$4:$BW$33, INT((ROW()-1)/COLUMNS(Optimization!$AT$4:$BW$33))+1, MOD(ROW()-1, COLUMNS(Optimization!$AT$4:$BW$33))+1)</f>
        <v>0</v>
      </c>
    </row>
    <row r="89" spans="1:3" x14ac:dyDescent="0.25">
      <c r="A89">
        <v>89</v>
      </c>
      <c r="B89" cm="1">
        <f t="array" ref="B89">INDEX(Optimization!$F$4:$AI$33, INT((ROW()-1)/COLUMNS(Optimization!$F$4:$AI$33))+1, MOD(ROW()-1, COLUMNS(Optimization!$F$4:$AI$33))+1)</f>
        <v>0.54959304235560902</v>
      </c>
      <c r="C89" cm="1">
        <f t="array" ref="C89">INDEX(Optimization!$AT$4:$BW$33, INT((ROW()-1)/COLUMNS(Optimization!$AT$4:$BW$33))+1, MOD(ROW()-1, COLUMNS(Optimization!$AT$4:$BW$33))+1)</f>
        <v>0</v>
      </c>
    </row>
    <row r="90" spans="1:3" x14ac:dyDescent="0.25">
      <c r="A90">
        <v>90</v>
      </c>
      <c r="B90" cm="1">
        <f t="array" ref="B90">INDEX(Optimization!$F$4:$AI$33, INT((ROW()-1)/COLUMNS(Optimization!$F$4:$AI$33))+1, MOD(ROW()-1, COLUMNS(Optimization!$F$4:$AI$33))+1)</f>
        <v>0.59078558875562803</v>
      </c>
      <c r="C90" cm="1">
        <f t="array" ref="C90">INDEX(Optimization!$AT$4:$BW$33, INT((ROW()-1)/COLUMNS(Optimization!$AT$4:$BW$33))+1, MOD(ROW()-1, COLUMNS(Optimization!$AT$4:$BW$33))+1)</f>
        <v>0</v>
      </c>
    </row>
    <row r="91" spans="1:3" x14ac:dyDescent="0.25">
      <c r="A91">
        <v>91</v>
      </c>
      <c r="B91" cm="1">
        <f t="array" ref="B91">INDEX(Optimization!$F$4:$AI$33, INT((ROW()-1)/COLUMNS(Optimization!$F$4:$AI$33))+1, MOD(ROW()-1, COLUMNS(Optimization!$F$4:$AI$33))+1)</f>
        <v>-0.130353885302981</v>
      </c>
      <c r="C91" cm="1">
        <f t="array" ref="C91">INDEX(Optimization!$AT$4:$BW$33, INT((ROW()-1)/COLUMNS(Optimization!$AT$4:$BW$33))+1, MOD(ROW()-1, COLUMNS(Optimization!$AT$4:$BW$33))+1)</f>
        <v>0</v>
      </c>
    </row>
    <row r="92" spans="1:3" x14ac:dyDescent="0.25">
      <c r="A92">
        <v>92</v>
      </c>
      <c r="B92" cm="1">
        <f t="array" ref="B92">INDEX(Optimization!$F$4:$AI$33, INT((ROW()-1)/COLUMNS(Optimization!$F$4:$AI$33))+1, MOD(ROW()-1, COLUMNS(Optimization!$F$4:$AI$33))+1)</f>
        <v>0.28425622597655298</v>
      </c>
      <c r="C92" cm="1">
        <f t="array" ref="C92">INDEX(Optimization!$AT$4:$BW$33, INT((ROW()-1)/COLUMNS(Optimization!$AT$4:$BW$33))+1, MOD(ROW()-1, COLUMNS(Optimization!$AT$4:$BW$33))+1)</f>
        <v>0</v>
      </c>
    </row>
    <row r="93" spans="1:3" x14ac:dyDescent="0.25">
      <c r="A93">
        <v>93</v>
      </c>
      <c r="B93" cm="1">
        <f t="array" ref="B93">INDEX(Optimization!$F$4:$AI$33, INT((ROW()-1)/COLUMNS(Optimization!$F$4:$AI$33))+1, MOD(ROW()-1, COLUMNS(Optimization!$F$4:$AI$33))+1)</f>
        <v>0.38129194601267002</v>
      </c>
      <c r="C93" cm="1">
        <f t="array" ref="C93">INDEX(Optimization!$AT$4:$BW$33, INT((ROW()-1)/COLUMNS(Optimization!$AT$4:$BW$33))+1, MOD(ROW()-1, COLUMNS(Optimization!$AT$4:$BW$33))+1)</f>
        <v>0</v>
      </c>
    </row>
    <row r="94" spans="1:3" x14ac:dyDescent="0.25">
      <c r="A94">
        <v>94</v>
      </c>
      <c r="B94" cm="1">
        <f t="array" ref="B94">INDEX(Optimization!$F$4:$AI$33, INT((ROW()-1)/COLUMNS(Optimization!$F$4:$AI$33))+1, MOD(ROW()-1, COLUMNS(Optimization!$F$4:$AI$33))+1)</f>
        <v>0</v>
      </c>
      <c r="C94" cm="1">
        <f t="array" ref="C94">INDEX(Optimization!$AT$4:$BW$33, INT((ROW()-1)/COLUMNS(Optimization!$AT$4:$BW$33))+1, MOD(ROW()-1, COLUMNS(Optimization!$AT$4:$BW$33))+1)</f>
        <v>0</v>
      </c>
    </row>
    <row r="95" spans="1:3" x14ac:dyDescent="0.25">
      <c r="A95">
        <v>95</v>
      </c>
      <c r="B95" cm="1">
        <f t="array" ref="B95">INDEX(Optimization!$F$4:$AI$33, INT((ROW()-1)/COLUMNS(Optimization!$F$4:$AI$33))+1, MOD(ROW()-1, COLUMNS(Optimization!$F$4:$AI$33))+1)</f>
        <v>0.28546614128758502</v>
      </c>
      <c r="C95" cm="1">
        <f t="array" ref="C95">INDEX(Optimization!$AT$4:$BW$33, INT((ROW()-1)/COLUMNS(Optimization!$AT$4:$BW$33))+1, MOD(ROW()-1, COLUMNS(Optimization!$AT$4:$BW$33))+1)</f>
        <v>0</v>
      </c>
    </row>
    <row r="96" spans="1:3" x14ac:dyDescent="0.25">
      <c r="A96">
        <v>96</v>
      </c>
      <c r="B96" cm="1">
        <f t="array" ref="B96">INDEX(Optimization!$F$4:$AI$33, INT((ROW()-1)/COLUMNS(Optimization!$F$4:$AI$33))+1, MOD(ROW()-1, COLUMNS(Optimization!$F$4:$AI$33))+1)</f>
        <v>-1.3668562197073999</v>
      </c>
      <c r="C96" cm="1">
        <f t="array" ref="C96">INDEX(Optimization!$AT$4:$BW$33, INT((ROW()-1)/COLUMNS(Optimization!$AT$4:$BW$33))+1, MOD(ROW()-1, COLUMNS(Optimization!$AT$4:$BW$33))+1)</f>
        <v>0</v>
      </c>
    </row>
    <row r="97" spans="1:3" x14ac:dyDescent="0.25">
      <c r="A97">
        <v>97</v>
      </c>
      <c r="B97" cm="1">
        <f t="array" ref="B97">INDEX(Optimization!$F$4:$AI$33, INT((ROW()-1)/COLUMNS(Optimization!$F$4:$AI$33))+1, MOD(ROW()-1, COLUMNS(Optimization!$F$4:$AI$33))+1)</f>
        <v>-0.32494158170086901</v>
      </c>
      <c r="C97" cm="1">
        <f t="array" ref="C97">INDEX(Optimization!$AT$4:$BW$33, INT((ROW()-1)/COLUMNS(Optimization!$AT$4:$BW$33))+1, MOD(ROW()-1, COLUMNS(Optimization!$AT$4:$BW$33))+1)</f>
        <v>0</v>
      </c>
    </row>
    <row r="98" spans="1:3" x14ac:dyDescent="0.25">
      <c r="A98">
        <v>98</v>
      </c>
      <c r="B98" cm="1">
        <f t="array" ref="B98">INDEX(Optimization!$F$4:$AI$33, INT((ROW()-1)/COLUMNS(Optimization!$F$4:$AI$33))+1, MOD(ROW()-1, COLUMNS(Optimization!$F$4:$AI$33))+1)</f>
        <v>-0.20230664459521899</v>
      </c>
      <c r="C98" cm="1">
        <f t="array" ref="C98">INDEX(Optimization!$AT$4:$BW$33, INT((ROW()-1)/COLUMNS(Optimization!$AT$4:$BW$33))+1, MOD(ROW()-1, COLUMNS(Optimization!$AT$4:$BW$33))+1)</f>
        <v>0</v>
      </c>
    </row>
    <row r="99" spans="1:3" x14ac:dyDescent="0.25">
      <c r="A99">
        <v>99</v>
      </c>
      <c r="B99" cm="1">
        <f t="array" ref="B99">INDEX(Optimization!$F$4:$AI$33, INT((ROW()-1)/COLUMNS(Optimization!$F$4:$AI$33))+1, MOD(ROW()-1, COLUMNS(Optimization!$F$4:$AI$33))+1)</f>
        <v>0.18274523517077301</v>
      </c>
      <c r="C99" cm="1">
        <f t="array" ref="C99">INDEX(Optimization!$AT$4:$BW$33, INT((ROW()-1)/COLUMNS(Optimization!$AT$4:$BW$33))+1, MOD(ROW()-1, COLUMNS(Optimization!$AT$4:$BW$33))+1)</f>
        <v>7</v>
      </c>
    </row>
    <row r="100" spans="1:3" x14ac:dyDescent="0.25">
      <c r="A100">
        <v>100</v>
      </c>
      <c r="B100" cm="1">
        <f t="array" ref="B100">INDEX(Optimization!$F$4:$AI$33, INT((ROW()-1)/COLUMNS(Optimization!$F$4:$AI$33))+1, MOD(ROW()-1, COLUMNS(Optimization!$F$4:$AI$33))+1)</f>
        <v>0.82295810863496299</v>
      </c>
      <c r="C100" cm="1">
        <f t="array" ref="C100">INDEX(Optimization!$AT$4:$BW$33, INT((ROW()-1)/COLUMNS(Optimization!$AT$4:$BW$33))+1, MOD(ROW()-1, COLUMNS(Optimization!$AT$4:$BW$33))+1)</f>
        <v>0</v>
      </c>
    </row>
    <row r="101" spans="1:3" x14ac:dyDescent="0.25">
      <c r="A101">
        <v>101</v>
      </c>
      <c r="B101" cm="1">
        <f t="array" ref="B101">INDEX(Optimization!$F$4:$AI$33, INT((ROW()-1)/COLUMNS(Optimization!$F$4:$AI$33))+1, MOD(ROW()-1, COLUMNS(Optimization!$F$4:$AI$33))+1)</f>
        <v>1.0904336470289999</v>
      </c>
      <c r="C101" cm="1">
        <f t="array" ref="C101">INDEX(Optimization!$AT$4:$BW$33, INT((ROW()-1)/COLUMNS(Optimization!$AT$4:$BW$33))+1, MOD(ROW()-1, COLUMNS(Optimization!$AT$4:$BW$33))+1)</f>
        <v>15</v>
      </c>
    </row>
    <row r="102" spans="1:3" x14ac:dyDescent="0.25">
      <c r="A102">
        <v>102</v>
      </c>
      <c r="B102" cm="1">
        <f t="array" ref="B102">INDEX(Optimization!$F$4:$AI$33, INT((ROW()-1)/COLUMNS(Optimization!$F$4:$AI$33))+1, MOD(ROW()-1, COLUMNS(Optimization!$F$4:$AI$33))+1)</f>
        <v>-0.211814570997991</v>
      </c>
      <c r="C102" cm="1">
        <f t="array" ref="C102">INDEX(Optimization!$AT$4:$BW$33, INT((ROW()-1)/COLUMNS(Optimization!$AT$4:$BW$33))+1, MOD(ROW()-1, COLUMNS(Optimization!$AT$4:$BW$33))+1)</f>
        <v>5</v>
      </c>
    </row>
    <row r="103" spans="1:3" x14ac:dyDescent="0.25">
      <c r="A103">
        <v>103</v>
      </c>
      <c r="B103" cm="1">
        <f t="array" ref="B103">INDEX(Optimization!$F$4:$AI$33, INT((ROW()-1)/COLUMNS(Optimization!$F$4:$AI$33))+1, MOD(ROW()-1, COLUMNS(Optimization!$F$4:$AI$33))+1)</f>
        <v>-0.101334239327442</v>
      </c>
      <c r="C103" cm="1">
        <f t="array" ref="C103">INDEX(Optimization!$AT$4:$BW$33, INT((ROW()-1)/COLUMNS(Optimization!$AT$4:$BW$33))+1, MOD(ROW()-1, COLUMNS(Optimization!$AT$4:$BW$33))+1)</f>
        <v>0</v>
      </c>
    </row>
    <row r="104" spans="1:3" x14ac:dyDescent="0.25">
      <c r="A104">
        <v>104</v>
      </c>
      <c r="B104" cm="1">
        <f t="array" ref="B104">INDEX(Optimization!$F$4:$AI$33, INT((ROW()-1)/COLUMNS(Optimization!$F$4:$AI$33))+1, MOD(ROW()-1, COLUMNS(Optimization!$F$4:$AI$33))+1)</f>
        <v>-0.95486874855735104</v>
      </c>
      <c r="C104" cm="1">
        <f t="array" ref="C104">INDEX(Optimization!$AT$4:$BW$33, INT((ROW()-1)/COLUMNS(Optimization!$AT$4:$BW$33))+1, MOD(ROW()-1, COLUMNS(Optimization!$AT$4:$BW$33))+1)</f>
        <v>0</v>
      </c>
    </row>
    <row r="105" spans="1:3" x14ac:dyDescent="0.25">
      <c r="A105">
        <v>105</v>
      </c>
      <c r="B105" cm="1">
        <f t="array" ref="B105">INDEX(Optimization!$F$4:$AI$33, INT((ROW()-1)/COLUMNS(Optimization!$F$4:$AI$33))+1, MOD(ROW()-1, COLUMNS(Optimization!$F$4:$AI$33))+1)</f>
        <v>0.23542520620884799</v>
      </c>
      <c r="C105" cm="1">
        <f t="array" ref="C105">INDEX(Optimization!$AT$4:$BW$33, INT((ROW()-1)/COLUMNS(Optimization!$AT$4:$BW$33))+1, MOD(ROW()-1, COLUMNS(Optimization!$AT$4:$BW$33))+1)</f>
        <v>16</v>
      </c>
    </row>
    <row r="106" spans="1:3" x14ac:dyDescent="0.25">
      <c r="A106">
        <v>106</v>
      </c>
      <c r="B106" cm="1">
        <f t="array" ref="B106">INDEX(Optimization!$F$4:$AI$33, INT((ROW()-1)/COLUMNS(Optimization!$F$4:$AI$33))+1, MOD(ROW()-1, COLUMNS(Optimization!$F$4:$AI$33))+1)</f>
        <v>0.51518780315552404</v>
      </c>
      <c r="C106" cm="1">
        <f t="array" ref="C106">INDEX(Optimization!$AT$4:$BW$33, INT((ROW()-1)/COLUMNS(Optimization!$AT$4:$BW$33))+1, MOD(ROW()-1, COLUMNS(Optimization!$AT$4:$BW$33))+1)</f>
        <v>0</v>
      </c>
    </row>
    <row r="107" spans="1:3" x14ac:dyDescent="0.25">
      <c r="A107">
        <v>107</v>
      </c>
      <c r="B107" cm="1">
        <f t="array" ref="B107">INDEX(Optimization!$F$4:$AI$33, INT((ROW()-1)/COLUMNS(Optimization!$F$4:$AI$33))+1, MOD(ROW()-1, COLUMNS(Optimization!$F$4:$AI$33))+1)</f>
        <v>6.1216103023294798E-2</v>
      </c>
      <c r="C107" cm="1">
        <f t="array" ref="C107">INDEX(Optimization!$AT$4:$BW$33, INT((ROW()-1)/COLUMNS(Optimization!$AT$4:$BW$33))+1, MOD(ROW()-1, COLUMNS(Optimization!$AT$4:$BW$33))+1)</f>
        <v>2</v>
      </c>
    </row>
    <row r="108" spans="1:3" x14ac:dyDescent="0.25">
      <c r="A108">
        <v>108</v>
      </c>
      <c r="B108" cm="1">
        <f t="array" ref="B108">INDEX(Optimization!$F$4:$AI$33, INT((ROW()-1)/COLUMNS(Optimization!$F$4:$AI$33))+1, MOD(ROW()-1, COLUMNS(Optimization!$F$4:$AI$33))+1)</f>
        <v>0.38650075515003002</v>
      </c>
      <c r="C108" cm="1">
        <f t="array" ref="C108">INDEX(Optimization!$AT$4:$BW$33, INT((ROW()-1)/COLUMNS(Optimization!$AT$4:$BW$33))+1, MOD(ROW()-1, COLUMNS(Optimization!$AT$4:$BW$33))+1)</f>
        <v>0</v>
      </c>
    </row>
    <row r="109" spans="1:3" x14ac:dyDescent="0.25">
      <c r="A109">
        <v>109</v>
      </c>
      <c r="B109" cm="1">
        <f t="array" ref="B109">INDEX(Optimization!$F$4:$AI$33, INT((ROW()-1)/COLUMNS(Optimization!$F$4:$AI$33))+1, MOD(ROW()-1, COLUMNS(Optimization!$F$4:$AI$33))+1)</f>
        <v>-0.207852947118042</v>
      </c>
      <c r="C109" cm="1">
        <f t="array" ref="C109">INDEX(Optimization!$AT$4:$BW$33, INT((ROW()-1)/COLUMNS(Optimization!$AT$4:$BW$33))+1, MOD(ROW()-1, COLUMNS(Optimization!$AT$4:$BW$33))+1)</f>
        <v>0</v>
      </c>
    </row>
    <row r="110" spans="1:3" x14ac:dyDescent="0.25">
      <c r="A110">
        <v>110</v>
      </c>
      <c r="B110" cm="1">
        <f t="array" ref="B110">INDEX(Optimization!$F$4:$AI$33, INT((ROW()-1)/COLUMNS(Optimization!$F$4:$AI$33))+1, MOD(ROW()-1, COLUMNS(Optimization!$F$4:$AI$33))+1)</f>
        <v>-0.71386832252584298</v>
      </c>
      <c r="C110" cm="1">
        <f t="array" ref="C110">INDEX(Optimization!$AT$4:$BW$33, INT((ROW()-1)/COLUMNS(Optimization!$AT$4:$BW$33))+1, MOD(ROW()-1, COLUMNS(Optimization!$AT$4:$BW$33))+1)</f>
        <v>0</v>
      </c>
    </row>
    <row r="111" spans="1:3" x14ac:dyDescent="0.25">
      <c r="A111">
        <v>111</v>
      </c>
      <c r="B111" cm="1">
        <f t="array" ref="B111">INDEX(Optimization!$F$4:$AI$33, INT((ROW()-1)/COLUMNS(Optimization!$F$4:$AI$33))+1, MOD(ROW()-1, COLUMNS(Optimization!$F$4:$AI$33))+1)</f>
        <v>-0.45653121574667499</v>
      </c>
      <c r="C111" cm="1">
        <f t="array" ref="C111">INDEX(Optimization!$AT$4:$BW$33, INT((ROW()-1)/COLUMNS(Optimization!$AT$4:$BW$33))+1, MOD(ROW()-1, COLUMNS(Optimization!$AT$4:$BW$33))+1)</f>
        <v>0</v>
      </c>
    </row>
    <row r="112" spans="1:3" x14ac:dyDescent="0.25">
      <c r="A112">
        <v>112</v>
      </c>
      <c r="B112" cm="1">
        <f t="array" ref="B112">INDEX(Optimization!$F$4:$AI$33, INT((ROW()-1)/COLUMNS(Optimization!$F$4:$AI$33))+1, MOD(ROW()-1, COLUMNS(Optimization!$F$4:$AI$33))+1)</f>
        <v>-0.31934552091156598</v>
      </c>
      <c r="C112" cm="1">
        <f t="array" ref="C112">INDEX(Optimization!$AT$4:$BW$33, INT((ROW()-1)/COLUMNS(Optimization!$AT$4:$BW$33))+1, MOD(ROW()-1, COLUMNS(Optimization!$AT$4:$BW$33))+1)</f>
        <v>0</v>
      </c>
    </row>
    <row r="113" spans="1:3" x14ac:dyDescent="0.25">
      <c r="A113">
        <v>113</v>
      </c>
      <c r="B113" cm="1">
        <f t="array" ref="B113">INDEX(Optimization!$F$4:$AI$33, INT((ROW()-1)/COLUMNS(Optimization!$F$4:$AI$33))+1, MOD(ROW()-1, COLUMNS(Optimization!$F$4:$AI$33))+1)</f>
        <v>-0.37972601838554698</v>
      </c>
      <c r="C113" cm="1">
        <f t="array" ref="C113">INDEX(Optimization!$AT$4:$BW$33, INT((ROW()-1)/COLUMNS(Optimization!$AT$4:$BW$33))+1, MOD(ROW()-1, COLUMNS(Optimization!$AT$4:$BW$33))+1)</f>
        <v>0</v>
      </c>
    </row>
    <row r="114" spans="1:3" x14ac:dyDescent="0.25">
      <c r="A114">
        <v>114</v>
      </c>
      <c r="B114" cm="1">
        <f t="array" ref="B114">INDEX(Optimization!$F$4:$AI$33, INT((ROW()-1)/COLUMNS(Optimization!$F$4:$AI$33))+1, MOD(ROW()-1, COLUMNS(Optimization!$F$4:$AI$33))+1)</f>
        <v>1.28703503915816</v>
      </c>
      <c r="C114" cm="1">
        <f t="array" ref="C114">INDEX(Optimization!$AT$4:$BW$33, INT((ROW()-1)/COLUMNS(Optimization!$AT$4:$BW$33))+1, MOD(ROW()-1, COLUMNS(Optimization!$AT$4:$BW$33))+1)</f>
        <v>1</v>
      </c>
    </row>
    <row r="115" spans="1:3" x14ac:dyDescent="0.25">
      <c r="A115">
        <v>115</v>
      </c>
      <c r="B115" cm="1">
        <f t="array" ref="B115">INDEX(Optimization!$F$4:$AI$33, INT((ROW()-1)/COLUMNS(Optimization!$F$4:$AI$33))+1, MOD(ROW()-1, COLUMNS(Optimization!$F$4:$AI$33))+1)</f>
        <v>-0.35039700478039398</v>
      </c>
      <c r="C115" cm="1">
        <f t="array" ref="C115">INDEX(Optimization!$AT$4:$BW$33, INT((ROW()-1)/COLUMNS(Optimization!$AT$4:$BW$33))+1, MOD(ROW()-1, COLUMNS(Optimization!$AT$4:$BW$33))+1)</f>
        <v>0</v>
      </c>
    </row>
    <row r="116" spans="1:3" x14ac:dyDescent="0.25">
      <c r="A116">
        <v>116</v>
      </c>
      <c r="B116" cm="1">
        <f t="array" ref="B116">INDEX(Optimization!$F$4:$AI$33, INT((ROW()-1)/COLUMNS(Optimization!$F$4:$AI$33))+1, MOD(ROW()-1, COLUMNS(Optimization!$F$4:$AI$33))+1)</f>
        <v>-0.72632977329843995</v>
      </c>
      <c r="C116" cm="1">
        <f t="array" ref="C116">INDEX(Optimization!$AT$4:$BW$33, INT((ROW()-1)/COLUMNS(Optimization!$AT$4:$BW$33))+1, MOD(ROW()-1, COLUMNS(Optimization!$AT$4:$BW$33))+1)</f>
        <v>0</v>
      </c>
    </row>
    <row r="117" spans="1:3" x14ac:dyDescent="0.25">
      <c r="A117">
        <v>117</v>
      </c>
      <c r="B117" cm="1">
        <f t="array" ref="B117">INDEX(Optimization!$F$4:$AI$33, INT((ROW()-1)/COLUMNS(Optimization!$F$4:$AI$33))+1, MOD(ROW()-1, COLUMNS(Optimization!$F$4:$AI$33))+1)</f>
        <v>-1.62277063110755E-2</v>
      </c>
      <c r="C117" cm="1">
        <f t="array" ref="C117">INDEX(Optimization!$AT$4:$BW$33, INT((ROW()-1)/COLUMNS(Optimization!$AT$4:$BW$33))+1, MOD(ROW()-1, COLUMNS(Optimization!$AT$4:$BW$33))+1)</f>
        <v>7</v>
      </c>
    </row>
    <row r="118" spans="1:3" x14ac:dyDescent="0.25">
      <c r="A118">
        <v>118</v>
      </c>
      <c r="B118" cm="1">
        <f t="array" ref="B118">INDEX(Optimization!$F$4:$AI$33, INT((ROW()-1)/COLUMNS(Optimization!$F$4:$AI$33))+1, MOD(ROW()-1, COLUMNS(Optimization!$F$4:$AI$33))+1)</f>
        <v>-1.3956432240943599</v>
      </c>
      <c r="C118" cm="1">
        <f t="array" ref="C118">INDEX(Optimization!$AT$4:$BW$33, INT((ROW()-1)/COLUMNS(Optimization!$AT$4:$BW$33))+1, MOD(ROW()-1, COLUMNS(Optimization!$AT$4:$BW$33))+1)</f>
        <v>0</v>
      </c>
    </row>
    <row r="119" spans="1:3" x14ac:dyDescent="0.25">
      <c r="A119">
        <v>119</v>
      </c>
      <c r="B119" cm="1">
        <f t="array" ref="B119">INDEX(Optimization!$F$4:$AI$33, INT((ROW()-1)/COLUMNS(Optimization!$F$4:$AI$33))+1, MOD(ROW()-1, COLUMNS(Optimization!$F$4:$AI$33))+1)</f>
        <v>-0.50482191604376803</v>
      </c>
      <c r="C119" cm="1">
        <f t="array" ref="C119">INDEX(Optimization!$AT$4:$BW$33, INT((ROW()-1)/COLUMNS(Optimization!$AT$4:$BW$33))+1, MOD(ROW()-1, COLUMNS(Optimization!$AT$4:$BW$33))+1)</f>
        <v>11</v>
      </c>
    </row>
    <row r="120" spans="1:3" x14ac:dyDescent="0.25">
      <c r="A120">
        <v>120</v>
      </c>
      <c r="B120" cm="1">
        <f t="array" ref="B120">INDEX(Optimization!$F$4:$AI$33, INT((ROW()-1)/COLUMNS(Optimization!$F$4:$AI$33))+1, MOD(ROW()-1, COLUMNS(Optimization!$F$4:$AI$33))+1)</f>
        <v>-0.24240916301278401</v>
      </c>
      <c r="C120" cm="1">
        <f t="array" ref="C120">INDEX(Optimization!$AT$4:$BW$33, INT((ROW()-1)/COLUMNS(Optimization!$AT$4:$BW$33))+1, MOD(ROW()-1, COLUMNS(Optimization!$AT$4:$BW$33))+1)</f>
        <v>16</v>
      </c>
    </row>
    <row r="121" spans="1:3" x14ac:dyDescent="0.25">
      <c r="A121">
        <v>121</v>
      </c>
      <c r="B121" cm="1">
        <f t="array" ref="B121">INDEX(Optimization!$F$4:$AI$33, INT((ROW()-1)/COLUMNS(Optimization!$F$4:$AI$33))+1, MOD(ROW()-1, COLUMNS(Optimization!$F$4:$AI$33))+1)</f>
        <v>0.65183593504495996</v>
      </c>
      <c r="C121" cm="1">
        <f t="array" ref="C121">INDEX(Optimization!$AT$4:$BW$33, INT((ROW()-1)/COLUMNS(Optimization!$AT$4:$BW$33))+1, MOD(ROW()-1, COLUMNS(Optimization!$AT$4:$BW$33))+1)</f>
        <v>0</v>
      </c>
    </row>
    <row r="122" spans="1:3" x14ac:dyDescent="0.25">
      <c r="A122">
        <v>122</v>
      </c>
      <c r="B122" cm="1">
        <f t="array" ref="B122">INDEX(Optimization!$F$4:$AI$33, INT((ROW()-1)/COLUMNS(Optimization!$F$4:$AI$33))+1, MOD(ROW()-1, COLUMNS(Optimization!$F$4:$AI$33))+1)</f>
        <v>0.11543158508142599</v>
      </c>
      <c r="C122" cm="1">
        <f t="array" ref="C122">INDEX(Optimization!$AT$4:$BW$33, INT((ROW()-1)/COLUMNS(Optimization!$AT$4:$BW$33))+1, MOD(ROW()-1, COLUMNS(Optimization!$AT$4:$BW$33))+1)</f>
        <v>0</v>
      </c>
    </row>
    <row r="123" spans="1:3" x14ac:dyDescent="0.25">
      <c r="A123">
        <v>123</v>
      </c>
      <c r="B123" cm="1">
        <f t="array" ref="B123">INDEX(Optimization!$F$4:$AI$33, INT((ROW()-1)/COLUMNS(Optimization!$F$4:$AI$33))+1, MOD(ROW()-1, COLUMNS(Optimization!$F$4:$AI$33))+1)</f>
        <v>-0.57605927456688699</v>
      </c>
      <c r="C123" cm="1">
        <f t="array" ref="C123">INDEX(Optimization!$AT$4:$BW$33, INT((ROW()-1)/COLUMNS(Optimization!$AT$4:$BW$33))+1, MOD(ROW()-1, COLUMNS(Optimization!$AT$4:$BW$33))+1)</f>
        <v>0</v>
      </c>
    </row>
    <row r="124" spans="1:3" x14ac:dyDescent="0.25">
      <c r="A124">
        <v>124</v>
      </c>
      <c r="B124" cm="1">
        <f t="array" ref="B124">INDEX(Optimization!$F$4:$AI$33, INT((ROW()-1)/COLUMNS(Optimization!$F$4:$AI$33))+1, MOD(ROW()-1, COLUMNS(Optimization!$F$4:$AI$33))+1)</f>
        <v>0.28546614128758502</v>
      </c>
      <c r="C124" cm="1">
        <f t="array" ref="C124">INDEX(Optimization!$AT$4:$BW$33, INT((ROW()-1)/COLUMNS(Optimization!$AT$4:$BW$33))+1, MOD(ROW()-1, COLUMNS(Optimization!$AT$4:$BW$33))+1)</f>
        <v>0</v>
      </c>
    </row>
    <row r="125" spans="1:3" x14ac:dyDescent="0.25">
      <c r="A125">
        <v>125</v>
      </c>
      <c r="B125" cm="1">
        <f t="array" ref="B125">INDEX(Optimization!$F$4:$AI$33, INT((ROW()-1)/COLUMNS(Optimization!$F$4:$AI$33))+1, MOD(ROW()-1, COLUMNS(Optimization!$F$4:$AI$33))+1)</f>
        <v>0</v>
      </c>
      <c r="C125" cm="1">
        <f t="array" ref="C125">INDEX(Optimization!$AT$4:$BW$33, INT((ROW()-1)/COLUMNS(Optimization!$AT$4:$BW$33))+1, MOD(ROW()-1, COLUMNS(Optimization!$AT$4:$BW$33))+1)</f>
        <v>0</v>
      </c>
    </row>
    <row r="126" spans="1:3" x14ac:dyDescent="0.25">
      <c r="A126">
        <v>126</v>
      </c>
      <c r="B126" cm="1">
        <f t="array" ref="B126">INDEX(Optimization!$F$4:$AI$33, INT((ROW()-1)/COLUMNS(Optimization!$F$4:$AI$33))+1, MOD(ROW()-1, COLUMNS(Optimization!$F$4:$AI$33))+1)</f>
        <v>0.57892388788005</v>
      </c>
      <c r="C126" cm="1">
        <f t="array" ref="C126">INDEX(Optimization!$AT$4:$BW$33, INT((ROW()-1)/COLUMNS(Optimization!$AT$4:$BW$33))+1, MOD(ROW()-1, COLUMNS(Optimization!$AT$4:$BW$33))+1)</f>
        <v>0</v>
      </c>
    </row>
    <row r="127" spans="1:3" x14ac:dyDescent="0.25">
      <c r="A127">
        <v>127</v>
      </c>
      <c r="B127" cm="1">
        <f t="array" ref="B127">INDEX(Optimization!$F$4:$AI$33, INT((ROW()-1)/COLUMNS(Optimization!$F$4:$AI$33))+1, MOD(ROW()-1, COLUMNS(Optimization!$F$4:$AI$33))+1)</f>
        <v>-1.48717043014467</v>
      </c>
      <c r="C127" cm="1">
        <f t="array" ref="C127">INDEX(Optimization!$AT$4:$BW$33, INT((ROW()-1)/COLUMNS(Optimization!$AT$4:$BW$33))+1, MOD(ROW()-1, COLUMNS(Optimization!$AT$4:$BW$33))+1)</f>
        <v>0</v>
      </c>
    </row>
    <row r="128" spans="1:3" x14ac:dyDescent="0.25">
      <c r="A128">
        <v>128</v>
      </c>
      <c r="B128" cm="1">
        <f t="array" ref="B128">INDEX(Optimization!$F$4:$AI$33, INT((ROW()-1)/COLUMNS(Optimization!$F$4:$AI$33))+1, MOD(ROW()-1, COLUMNS(Optimization!$F$4:$AI$33))+1)</f>
        <v>-0.16094150204178501</v>
      </c>
      <c r="C128" cm="1">
        <f t="array" ref="C128">INDEX(Optimization!$AT$4:$BW$33, INT((ROW()-1)/COLUMNS(Optimization!$AT$4:$BW$33))+1, MOD(ROW()-1, COLUMNS(Optimization!$AT$4:$BW$33))+1)</f>
        <v>0</v>
      </c>
    </row>
    <row r="129" spans="1:3" x14ac:dyDescent="0.25">
      <c r="A129">
        <v>129</v>
      </c>
      <c r="B129" cm="1">
        <f t="array" ref="B129">INDEX(Optimization!$F$4:$AI$33, INT((ROW()-1)/COLUMNS(Optimization!$F$4:$AI$33))+1, MOD(ROW()-1, COLUMNS(Optimization!$F$4:$AI$33))+1)</f>
        <v>0.63052308911433397</v>
      </c>
      <c r="C129" cm="1">
        <f t="array" ref="C129">INDEX(Optimization!$AT$4:$BW$33, INT((ROW()-1)/COLUMNS(Optimization!$AT$4:$BW$33))+1, MOD(ROW()-1, COLUMNS(Optimization!$AT$4:$BW$33))+1)</f>
        <v>0</v>
      </c>
    </row>
    <row r="130" spans="1:3" x14ac:dyDescent="0.25">
      <c r="A130">
        <v>130</v>
      </c>
      <c r="B130" cm="1">
        <f t="array" ref="B130">INDEX(Optimization!$F$4:$AI$33, INT((ROW()-1)/COLUMNS(Optimization!$F$4:$AI$33))+1, MOD(ROW()-1, COLUMNS(Optimization!$F$4:$AI$33))+1)</f>
        <v>-0.41019693122726197</v>
      </c>
      <c r="C130" cm="1">
        <f t="array" ref="C130">INDEX(Optimization!$AT$4:$BW$33, INT((ROW()-1)/COLUMNS(Optimization!$AT$4:$BW$33))+1, MOD(ROW()-1, COLUMNS(Optimization!$AT$4:$BW$33))+1)</f>
        <v>0</v>
      </c>
    </row>
    <row r="131" spans="1:3" x14ac:dyDescent="0.25">
      <c r="A131">
        <v>131</v>
      </c>
      <c r="B131" cm="1">
        <f t="array" ref="B131">INDEX(Optimization!$F$4:$AI$33, INT((ROW()-1)/COLUMNS(Optimization!$F$4:$AI$33))+1, MOD(ROW()-1, COLUMNS(Optimization!$F$4:$AI$33))+1)</f>
        <v>-1.25504862213548</v>
      </c>
      <c r="C131" cm="1">
        <f t="array" ref="C131">INDEX(Optimization!$AT$4:$BW$33, INT((ROW()-1)/COLUMNS(Optimization!$AT$4:$BW$33))+1, MOD(ROW()-1, COLUMNS(Optimization!$AT$4:$BW$33))+1)</f>
        <v>0</v>
      </c>
    </row>
    <row r="132" spans="1:3" x14ac:dyDescent="0.25">
      <c r="A132">
        <v>132</v>
      </c>
      <c r="B132" cm="1">
        <f t="array" ref="B132">INDEX(Optimization!$F$4:$AI$33, INT((ROW()-1)/COLUMNS(Optimization!$F$4:$AI$33))+1, MOD(ROW()-1, COLUMNS(Optimization!$F$4:$AI$33))+1)</f>
        <v>-0.44848148123819398</v>
      </c>
      <c r="C132" cm="1">
        <f t="array" ref="C132">INDEX(Optimization!$AT$4:$BW$33, INT((ROW()-1)/COLUMNS(Optimization!$AT$4:$BW$33))+1, MOD(ROW()-1, COLUMNS(Optimization!$AT$4:$BW$33))+1)</f>
        <v>0</v>
      </c>
    </row>
    <row r="133" spans="1:3" x14ac:dyDescent="0.25">
      <c r="A133">
        <v>133</v>
      </c>
      <c r="B133" cm="1">
        <f t="array" ref="B133">INDEX(Optimization!$F$4:$AI$33, INT((ROW()-1)/COLUMNS(Optimization!$F$4:$AI$33))+1, MOD(ROW()-1, COLUMNS(Optimization!$F$4:$AI$33))+1)</f>
        <v>0.98425987223348099</v>
      </c>
      <c r="C133" cm="1">
        <f t="array" ref="C133">INDEX(Optimization!$AT$4:$BW$33, INT((ROW()-1)/COLUMNS(Optimization!$AT$4:$BW$33))+1, MOD(ROW()-1, COLUMNS(Optimization!$AT$4:$BW$33))+1)</f>
        <v>0</v>
      </c>
    </row>
    <row r="134" spans="1:3" x14ac:dyDescent="0.25">
      <c r="A134">
        <v>134</v>
      </c>
      <c r="B134" cm="1">
        <f t="array" ref="B134">INDEX(Optimization!$F$4:$AI$33, INT((ROW()-1)/COLUMNS(Optimization!$F$4:$AI$33))+1, MOD(ROW()-1, COLUMNS(Optimization!$F$4:$AI$33))+1)</f>
        <v>0.56553656234427696</v>
      </c>
      <c r="C134" cm="1">
        <f t="array" ref="C134">INDEX(Optimization!$AT$4:$BW$33, INT((ROW()-1)/COLUMNS(Optimization!$AT$4:$BW$33))+1, MOD(ROW()-1, COLUMNS(Optimization!$AT$4:$BW$33))+1)</f>
        <v>0</v>
      </c>
    </row>
    <row r="135" spans="1:3" x14ac:dyDescent="0.25">
      <c r="A135">
        <v>135</v>
      </c>
      <c r="B135" cm="1">
        <f t="array" ref="B135">INDEX(Optimization!$F$4:$AI$33, INT((ROW()-1)/COLUMNS(Optimization!$F$4:$AI$33))+1, MOD(ROW()-1, COLUMNS(Optimization!$F$4:$AI$33))+1)</f>
        <v>-5.1960788144622898E-2</v>
      </c>
      <c r="C135" cm="1">
        <f t="array" ref="C135">INDEX(Optimization!$AT$4:$BW$33, INT((ROW()-1)/COLUMNS(Optimization!$AT$4:$BW$33))+1, MOD(ROW()-1, COLUMNS(Optimization!$AT$4:$BW$33))+1)</f>
        <v>0</v>
      </c>
    </row>
    <row r="136" spans="1:3" x14ac:dyDescent="0.25">
      <c r="A136">
        <v>136</v>
      </c>
      <c r="B136" cm="1">
        <f t="array" ref="B136">INDEX(Optimization!$F$4:$AI$33, INT((ROW()-1)/COLUMNS(Optimization!$F$4:$AI$33))+1, MOD(ROW()-1, COLUMNS(Optimization!$F$4:$AI$33))+1)</f>
        <v>0.42934594206565901</v>
      </c>
      <c r="C136" cm="1">
        <f t="array" ref="C136">INDEX(Optimization!$AT$4:$BW$33, INT((ROW()-1)/COLUMNS(Optimization!$AT$4:$BW$33))+1, MOD(ROW()-1, COLUMNS(Optimization!$AT$4:$BW$33))+1)</f>
        <v>0</v>
      </c>
    </row>
    <row r="137" spans="1:3" x14ac:dyDescent="0.25">
      <c r="A137">
        <v>137</v>
      </c>
      <c r="B137" cm="1">
        <f t="array" ref="B137">INDEX(Optimization!$F$4:$AI$33, INT((ROW()-1)/COLUMNS(Optimization!$F$4:$AI$33))+1, MOD(ROW()-1, COLUMNS(Optimization!$F$4:$AI$33))+1)</f>
        <v>1.06954150457034</v>
      </c>
      <c r="C137" cm="1">
        <f t="array" ref="C137">INDEX(Optimization!$AT$4:$BW$33, INT((ROW()-1)/COLUMNS(Optimization!$AT$4:$BW$33))+1, MOD(ROW()-1, COLUMNS(Optimization!$AT$4:$BW$33))+1)</f>
        <v>0</v>
      </c>
    </row>
    <row r="138" spans="1:3" x14ac:dyDescent="0.25">
      <c r="A138">
        <v>138</v>
      </c>
      <c r="B138" cm="1">
        <f t="array" ref="B138">INDEX(Optimization!$F$4:$AI$33, INT((ROW()-1)/COLUMNS(Optimization!$F$4:$AI$33))+1, MOD(ROW()-1, COLUMNS(Optimization!$F$4:$AI$33))+1)</f>
        <v>0.53032207733395098</v>
      </c>
      <c r="C138" cm="1">
        <f t="array" ref="C138">INDEX(Optimization!$AT$4:$BW$33, INT((ROW()-1)/COLUMNS(Optimization!$AT$4:$BW$33))+1, MOD(ROW()-1, COLUMNS(Optimization!$AT$4:$BW$33))+1)</f>
        <v>0</v>
      </c>
    </row>
    <row r="139" spans="1:3" x14ac:dyDescent="0.25">
      <c r="A139">
        <v>139</v>
      </c>
      <c r="B139" cm="1">
        <f t="array" ref="B139">INDEX(Optimization!$F$4:$AI$33, INT((ROW()-1)/COLUMNS(Optimization!$F$4:$AI$33))+1, MOD(ROW()-1, COLUMNS(Optimization!$F$4:$AI$33))+1)</f>
        <v>-2.69957885563985E-2</v>
      </c>
      <c r="C139" cm="1">
        <f t="array" ref="C139">INDEX(Optimization!$AT$4:$BW$33, INT((ROW()-1)/COLUMNS(Optimization!$AT$4:$BW$33))+1, MOD(ROW()-1, COLUMNS(Optimization!$AT$4:$BW$33))+1)</f>
        <v>0</v>
      </c>
    </row>
    <row r="140" spans="1:3" x14ac:dyDescent="0.25">
      <c r="A140">
        <v>140</v>
      </c>
      <c r="B140" cm="1">
        <f t="array" ref="B140">INDEX(Optimization!$F$4:$AI$33, INT((ROW()-1)/COLUMNS(Optimization!$F$4:$AI$33))+1, MOD(ROW()-1, COLUMNS(Optimization!$F$4:$AI$33))+1)</f>
        <v>0.60578288968523197</v>
      </c>
      <c r="C140" cm="1">
        <f t="array" ref="C140">INDEX(Optimization!$AT$4:$BW$33, INT((ROW()-1)/COLUMNS(Optimization!$AT$4:$BW$33))+1, MOD(ROW()-1, COLUMNS(Optimization!$AT$4:$BW$33))+1)</f>
        <v>0</v>
      </c>
    </row>
    <row r="141" spans="1:3" x14ac:dyDescent="0.25">
      <c r="A141">
        <v>141</v>
      </c>
      <c r="B141" cm="1">
        <f t="array" ref="B141">INDEX(Optimization!$F$4:$AI$33, INT((ROW()-1)/COLUMNS(Optimization!$F$4:$AI$33))+1, MOD(ROW()-1, COLUMNS(Optimization!$F$4:$AI$33))+1)</f>
        <v>0.31998546060890398</v>
      </c>
      <c r="C141" cm="1">
        <f t="array" ref="C141">INDEX(Optimization!$AT$4:$BW$33, INT((ROW()-1)/COLUMNS(Optimization!$AT$4:$BW$33))+1, MOD(ROW()-1, COLUMNS(Optimization!$AT$4:$BW$33))+1)</f>
        <v>0</v>
      </c>
    </row>
    <row r="142" spans="1:3" x14ac:dyDescent="0.25">
      <c r="A142">
        <v>142</v>
      </c>
      <c r="B142" cm="1">
        <f t="array" ref="B142">INDEX(Optimization!$F$4:$AI$33, INT((ROW()-1)/COLUMNS(Optimization!$F$4:$AI$33))+1, MOD(ROW()-1, COLUMNS(Optimization!$F$4:$AI$33))+1)</f>
        <v>-0.692446492583772</v>
      </c>
      <c r="C142" cm="1">
        <f t="array" ref="C142">INDEX(Optimization!$AT$4:$BW$33, INT((ROW()-1)/COLUMNS(Optimization!$AT$4:$BW$33))+1, MOD(ROW()-1, COLUMNS(Optimization!$AT$4:$BW$33))+1)</f>
        <v>0</v>
      </c>
    </row>
    <row r="143" spans="1:3" x14ac:dyDescent="0.25">
      <c r="A143">
        <v>143</v>
      </c>
      <c r="B143" cm="1">
        <f t="array" ref="B143">INDEX(Optimization!$F$4:$AI$33, INT((ROW()-1)/COLUMNS(Optimization!$F$4:$AI$33))+1, MOD(ROW()-1, COLUMNS(Optimization!$F$4:$AI$33))+1)</f>
        <v>-0.73550260096486497</v>
      </c>
      <c r="C143" cm="1">
        <f t="array" ref="C143">INDEX(Optimization!$AT$4:$BW$33, INT((ROW()-1)/COLUMNS(Optimization!$AT$4:$BW$33))+1, MOD(ROW()-1, COLUMNS(Optimization!$AT$4:$BW$33))+1)</f>
        <v>0</v>
      </c>
    </row>
    <row r="144" spans="1:3" x14ac:dyDescent="0.25">
      <c r="A144">
        <v>144</v>
      </c>
      <c r="B144" cm="1">
        <f t="array" ref="B144">INDEX(Optimization!$F$4:$AI$33, INT((ROW()-1)/COLUMNS(Optimization!$F$4:$AI$33))+1, MOD(ROW()-1, COLUMNS(Optimization!$F$4:$AI$33))+1)</f>
        <v>0.24228623987006401</v>
      </c>
      <c r="C144" cm="1">
        <f t="array" ref="C144">INDEX(Optimization!$AT$4:$BW$33, INT((ROW()-1)/COLUMNS(Optimization!$AT$4:$BW$33))+1, MOD(ROW()-1, COLUMNS(Optimization!$AT$4:$BW$33))+1)</f>
        <v>0</v>
      </c>
    </row>
    <row r="145" spans="1:3" x14ac:dyDescent="0.25">
      <c r="A145">
        <v>145</v>
      </c>
      <c r="B145" cm="1">
        <f t="array" ref="B145">INDEX(Optimization!$F$4:$AI$33, INT((ROW()-1)/COLUMNS(Optimization!$F$4:$AI$33))+1, MOD(ROW()-1, COLUMNS(Optimization!$F$4:$AI$33))+1)</f>
        <v>-0.14624220702415699</v>
      </c>
      <c r="C145" cm="1">
        <f t="array" ref="C145">INDEX(Optimization!$AT$4:$BW$33, INT((ROW()-1)/COLUMNS(Optimization!$AT$4:$BW$33))+1, MOD(ROW()-1, COLUMNS(Optimization!$AT$4:$BW$33))+1)</f>
        <v>0</v>
      </c>
    </row>
    <row r="146" spans="1:3" x14ac:dyDescent="0.25">
      <c r="A146">
        <v>146</v>
      </c>
      <c r="B146" cm="1">
        <f t="array" ref="B146">INDEX(Optimization!$F$4:$AI$33, INT((ROW()-1)/COLUMNS(Optimization!$F$4:$AI$33))+1, MOD(ROW()-1, COLUMNS(Optimization!$F$4:$AI$33))+1)</f>
        <v>-0.34829074992099102</v>
      </c>
      <c r="C146" cm="1">
        <f t="array" ref="C146">INDEX(Optimization!$AT$4:$BW$33, INT((ROW()-1)/COLUMNS(Optimization!$AT$4:$BW$33))+1, MOD(ROW()-1, COLUMNS(Optimization!$AT$4:$BW$33))+1)</f>
        <v>0</v>
      </c>
    </row>
    <row r="147" spans="1:3" x14ac:dyDescent="0.25">
      <c r="A147">
        <v>147</v>
      </c>
      <c r="B147" cm="1">
        <f t="array" ref="B147">INDEX(Optimization!$F$4:$AI$33, INT((ROW()-1)/COLUMNS(Optimization!$F$4:$AI$33))+1, MOD(ROW()-1, COLUMNS(Optimization!$F$4:$AI$33))+1)</f>
        <v>-0.42590262099918602</v>
      </c>
      <c r="C147" cm="1">
        <f t="array" ref="C147">INDEX(Optimization!$AT$4:$BW$33, INT((ROW()-1)/COLUMNS(Optimization!$AT$4:$BW$33))+1, MOD(ROW()-1, COLUMNS(Optimization!$AT$4:$BW$33))+1)</f>
        <v>0</v>
      </c>
    </row>
    <row r="148" spans="1:3" x14ac:dyDescent="0.25">
      <c r="A148">
        <v>148</v>
      </c>
      <c r="B148" cm="1">
        <f t="array" ref="B148">INDEX(Optimization!$F$4:$AI$33, INT((ROW()-1)/COLUMNS(Optimization!$F$4:$AI$33))+1, MOD(ROW()-1, COLUMNS(Optimization!$F$4:$AI$33))+1)</f>
        <v>-0.277100054020467</v>
      </c>
      <c r="C148" cm="1">
        <f t="array" ref="C148">INDEX(Optimization!$AT$4:$BW$33, INT((ROW()-1)/COLUMNS(Optimization!$AT$4:$BW$33))+1, MOD(ROW()-1, COLUMNS(Optimization!$AT$4:$BW$33))+1)</f>
        <v>0</v>
      </c>
    </row>
    <row r="149" spans="1:3" x14ac:dyDescent="0.25">
      <c r="A149">
        <v>149</v>
      </c>
      <c r="B149" cm="1">
        <f t="array" ref="B149">INDEX(Optimization!$F$4:$AI$33, INT((ROW()-1)/COLUMNS(Optimization!$F$4:$AI$33))+1, MOD(ROW()-1, COLUMNS(Optimization!$F$4:$AI$33))+1)</f>
        <v>1.1205094569346901</v>
      </c>
      <c r="C149" cm="1">
        <f t="array" ref="C149">INDEX(Optimization!$AT$4:$BW$33, INT((ROW()-1)/COLUMNS(Optimization!$AT$4:$BW$33))+1, MOD(ROW()-1, COLUMNS(Optimization!$AT$4:$BW$33))+1)</f>
        <v>0</v>
      </c>
    </row>
    <row r="150" spans="1:3" x14ac:dyDescent="0.25">
      <c r="A150">
        <v>150</v>
      </c>
      <c r="B150" cm="1">
        <f t="array" ref="B150">INDEX(Optimization!$F$4:$AI$33, INT((ROW()-1)/COLUMNS(Optimization!$F$4:$AI$33))+1, MOD(ROW()-1, COLUMNS(Optimization!$F$4:$AI$33))+1)</f>
        <v>-0.33797024296862599</v>
      </c>
      <c r="C150" cm="1">
        <f t="array" ref="C150">INDEX(Optimization!$AT$4:$BW$33, INT((ROW()-1)/COLUMNS(Optimization!$AT$4:$BW$33))+1, MOD(ROW()-1, COLUMNS(Optimization!$AT$4:$BW$33))+1)</f>
        <v>0</v>
      </c>
    </row>
    <row r="151" spans="1:3" x14ac:dyDescent="0.25">
      <c r="A151">
        <v>151</v>
      </c>
      <c r="B151" cm="1">
        <f t="array" ref="B151">INDEX(Optimization!$F$4:$AI$33, INT((ROW()-1)/COLUMNS(Optimization!$F$4:$AI$33))+1, MOD(ROW()-1, COLUMNS(Optimization!$F$4:$AI$33))+1)</f>
        <v>0.107158130483926</v>
      </c>
      <c r="C151" cm="1">
        <f t="array" ref="C151">INDEX(Optimization!$AT$4:$BW$33, INT((ROW()-1)/COLUMNS(Optimization!$AT$4:$BW$33))+1, MOD(ROW()-1, COLUMNS(Optimization!$AT$4:$BW$33))+1)</f>
        <v>0</v>
      </c>
    </row>
    <row r="152" spans="1:3" x14ac:dyDescent="0.25">
      <c r="A152">
        <v>152</v>
      </c>
      <c r="B152" cm="1">
        <f t="array" ref="B152">INDEX(Optimization!$F$4:$AI$33, INT((ROW()-1)/COLUMNS(Optimization!$F$4:$AI$33))+1, MOD(ROW()-1, COLUMNS(Optimization!$F$4:$AI$33))+1)</f>
        <v>0.29080761148566098</v>
      </c>
      <c r="C152" cm="1">
        <f t="array" ref="C152">INDEX(Optimization!$AT$4:$BW$33, INT((ROW()-1)/COLUMNS(Optimization!$AT$4:$BW$33))+1, MOD(ROW()-1, COLUMNS(Optimization!$AT$4:$BW$33))+1)</f>
        <v>0</v>
      </c>
    </row>
    <row r="153" spans="1:3" x14ac:dyDescent="0.25">
      <c r="A153">
        <v>153</v>
      </c>
      <c r="B153" cm="1">
        <f t="array" ref="B153">INDEX(Optimization!$F$4:$AI$33, INT((ROW()-1)/COLUMNS(Optimization!$F$4:$AI$33))+1, MOD(ROW()-1, COLUMNS(Optimization!$F$4:$AI$33))+1)</f>
        <v>4.9849462687683303E-2</v>
      </c>
      <c r="C153" cm="1">
        <f t="array" ref="C153">INDEX(Optimization!$AT$4:$BW$33, INT((ROW()-1)/COLUMNS(Optimization!$AT$4:$BW$33))+1, MOD(ROW()-1, COLUMNS(Optimization!$AT$4:$BW$33))+1)</f>
        <v>0</v>
      </c>
    </row>
    <row r="154" spans="1:3" x14ac:dyDescent="0.25">
      <c r="A154">
        <v>154</v>
      </c>
      <c r="B154" cm="1">
        <f t="array" ref="B154">INDEX(Optimization!$F$4:$AI$33, INT((ROW()-1)/COLUMNS(Optimization!$F$4:$AI$33))+1, MOD(ROW()-1, COLUMNS(Optimization!$F$4:$AI$33))+1)</f>
        <v>-1.3668562197073999</v>
      </c>
      <c r="C154" cm="1">
        <f t="array" ref="C154">INDEX(Optimization!$AT$4:$BW$33, INT((ROW()-1)/COLUMNS(Optimization!$AT$4:$BW$33))+1, MOD(ROW()-1, COLUMNS(Optimization!$AT$4:$BW$33))+1)</f>
        <v>0</v>
      </c>
    </row>
    <row r="155" spans="1:3" x14ac:dyDescent="0.25">
      <c r="A155">
        <v>155</v>
      </c>
      <c r="B155" cm="1">
        <f t="array" ref="B155">INDEX(Optimization!$F$4:$AI$33, INT((ROW()-1)/COLUMNS(Optimization!$F$4:$AI$33))+1, MOD(ROW()-1, COLUMNS(Optimization!$F$4:$AI$33))+1)</f>
        <v>0.57892388788005</v>
      </c>
      <c r="C155" cm="1">
        <f t="array" ref="C155">INDEX(Optimization!$AT$4:$BW$33, INT((ROW()-1)/COLUMNS(Optimization!$AT$4:$BW$33))+1, MOD(ROW()-1, COLUMNS(Optimization!$AT$4:$BW$33))+1)</f>
        <v>0</v>
      </c>
    </row>
    <row r="156" spans="1:3" x14ac:dyDescent="0.25">
      <c r="A156">
        <v>156</v>
      </c>
      <c r="B156" cm="1">
        <f t="array" ref="B156">INDEX(Optimization!$F$4:$AI$33, INT((ROW()-1)/COLUMNS(Optimization!$F$4:$AI$33))+1, MOD(ROW()-1, COLUMNS(Optimization!$F$4:$AI$33))+1)</f>
        <v>0</v>
      </c>
      <c r="C156" cm="1">
        <f t="array" ref="C156">INDEX(Optimization!$AT$4:$BW$33, INT((ROW()-1)/COLUMNS(Optimization!$AT$4:$BW$33))+1, MOD(ROW()-1, COLUMNS(Optimization!$AT$4:$BW$33))+1)</f>
        <v>0</v>
      </c>
    </row>
    <row r="157" spans="1:3" x14ac:dyDescent="0.25">
      <c r="A157">
        <v>157</v>
      </c>
      <c r="B157" cm="1">
        <f t="array" ref="B157">INDEX(Optimization!$F$4:$AI$33, INT((ROW()-1)/COLUMNS(Optimization!$F$4:$AI$33))+1, MOD(ROW()-1, COLUMNS(Optimization!$F$4:$AI$33))+1)</f>
        <v>0.264402559071929</v>
      </c>
      <c r="C157" cm="1">
        <f t="array" ref="C157">INDEX(Optimization!$AT$4:$BW$33, INT((ROW()-1)/COLUMNS(Optimization!$AT$4:$BW$33))+1, MOD(ROW()-1, COLUMNS(Optimization!$AT$4:$BW$33))+1)</f>
        <v>0</v>
      </c>
    </row>
    <row r="158" spans="1:3" x14ac:dyDescent="0.25">
      <c r="A158">
        <v>158</v>
      </c>
      <c r="B158" cm="1">
        <f t="array" ref="B158">INDEX(Optimization!$F$4:$AI$33, INT((ROW()-1)/COLUMNS(Optimization!$F$4:$AI$33))+1, MOD(ROW()-1, COLUMNS(Optimization!$F$4:$AI$33))+1)</f>
        <v>0.47695990657556298</v>
      </c>
      <c r="C158" cm="1">
        <f t="array" ref="C158">INDEX(Optimization!$AT$4:$BW$33, INT((ROW()-1)/COLUMNS(Optimization!$AT$4:$BW$33))+1, MOD(ROW()-1, COLUMNS(Optimization!$AT$4:$BW$33))+1)</f>
        <v>0</v>
      </c>
    </row>
    <row r="159" spans="1:3" x14ac:dyDescent="0.25">
      <c r="A159">
        <v>159</v>
      </c>
      <c r="B159" cm="1">
        <f t="array" ref="B159">INDEX(Optimization!$F$4:$AI$33, INT((ROW()-1)/COLUMNS(Optimization!$F$4:$AI$33))+1, MOD(ROW()-1, COLUMNS(Optimization!$F$4:$AI$33))+1)</f>
        <v>-0.59158137990241</v>
      </c>
      <c r="C159" cm="1">
        <f t="array" ref="C159">INDEX(Optimization!$AT$4:$BW$33, INT((ROW()-1)/COLUMNS(Optimization!$AT$4:$BW$33))+1, MOD(ROW()-1, COLUMNS(Optimization!$AT$4:$BW$33))+1)</f>
        <v>0</v>
      </c>
    </row>
    <row r="160" spans="1:3" x14ac:dyDescent="0.25">
      <c r="A160">
        <v>160</v>
      </c>
      <c r="B160" cm="1">
        <f t="array" ref="B160">INDEX(Optimization!$F$4:$AI$33, INT((ROW()-1)/COLUMNS(Optimization!$F$4:$AI$33))+1, MOD(ROW()-1, COLUMNS(Optimization!$F$4:$AI$33))+1)</f>
        <v>0.29507734825624499</v>
      </c>
      <c r="C160" cm="1">
        <f t="array" ref="C160">INDEX(Optimization!$AT$4:$BW$33, INT((ROW()-1)/COLUMNS(Optimization!$AT$4:$BW$33))+1, MOD(ROW()-1, COLUMNS(Optimization!$AT$4:$BW$33))+1)</f>
        <v>0</v>
      </c>
    </row>
    <row r="161" spans="1:3" x14ac:dyDescent="0.25">
      <c r="A161">
        <v>161</v>
      </c>
      <c r="B161" cm="1">
        <f t="array" ref="B161">INDEX(Optimization!$F$4:$AI$33, INT((ROW()-1)/COLUMNS(Optimization!$F$4:$AI$33))+1, MOD(ROW()-1, COLUMNS(Optimization!$F$4:$AI$33))+1)</f>
        <v>0.145421132931463</v>
      </c>
      <c r="C161" cm="1">
        <f t="array" ref="C161">INDEX(Optimization!$AT$4:$BW$33, INT((ROW()-1)/COLUMNS(Optimization!$AT$4:$BW$33))+1, MOD(ROW()-1, COLUMNS(Optimization!$AT$4:$BW$33))+1)</f>
        <v>0</v>
      </c>
    </row>
    <row r="162" spans="1:3" x14ac:dyDescent="0.25">
      <c r="A162">
        <v>162</v>
      </c>
      <c r="B162" cm="1">
        <f t="array" ref="B162">INDEX(Optimization!$F$4:$AI$33, INT((ROW()-1)/COLUMNS(Optimization!$F$4:$AI$33))+1, MOD(ROW()-1, COLUMNS(Optimization!$F$4:$AI$33))+1)</f>
        <v>1.1486789592064599</v>
      </c>
      <c r="C162" cm="1">
        <f t="array" ref="C162">INDEX(Optimization!$AT$4:$BW$33, INT((ROW()-1)/COLUMNS(Optimization!$AT$4:$BW$33))+1, MOD(ROW()-1, COLUMNS(Optimization!$AT$4:$BW$33))+1)</f>
        <v>0</v>
      </c>
    </row>
    <row r="163" spans="1:3" x14ac:dyDescent="0.25">
      <c r="A163">
        <v>163</v>
      </c>
      <c r="B163" cm="1">
        <f t="array" ref="B163">INDEX(Optimization!$F$4:$AI$33, INT((ROW()-1)/COLUMNS(Optimization!$F$4:$AI$33))+1, MOD(ROW()-1, COLUMNS(Optimization!$F$4:$AI$33))+1)</f>
        <v>0.21690314779181899</v>
      </c>
      <c r="C163" cm="1">
        <f t="array" ref="C163">INDEX(Optimization!$AT$4:$BW$33, INT((ROW()-1)/COLUMNS(Optimization!$AT$4:$BW$33))+1, MOD(ROW()-1, COLUMNS(Optimization!$AT$4:$BW$33))+1)</f>
        <v>0</v>
      </c>
    </row>
    <row r="164" spans="1:3" x14ac:dyDescent="0.25">
      <c r="A164">
        <v>164</v>
      </c>
      <c r="B164" cm="1">
        <f t="array" ref="B164">INDEX(Optimization!$F$4:$AI$33, INT((ROW()-1)/COLUMNS(Optimization!$F$4:$AI$33))+1, MOD(ROW()-1, COLUMNS(Optimization!$F$4:$AI$33))+1)</f>
        <v>0.42400768695504598</v>
      </c>
      <c r="C164" cm="1">
        <f t="array" ref="C164">INDEX(Optimization!$AT$4:$BW$33, INT((ROW()-1)/COLUMNS(Optimization!$AT$4:$BW$33))+1, MOD(ROW()-1, COLUMNS(Optimization!$AT$4:$BW$33))+1)</f>
        <v>0</v>
      </c>
    </row>
    <row r="165" spans="1:3" x14ac:dyDescent="0.25">
      <c r="A165">
        <v>165</v>
      </c>
      <c r="B165" cm="1">
        <f t="array" ref="B165">INDEX(Optimization!$F$4:$AI$33, INT((ROW()-1)/COLUMNS(Optimization!$F$4:$AI$33))+1, MOD(ROW()-1, COLUMNS(Optimization!$F$4:$AI$33))+1)</f>
        <v>0.74087596162793001</v>
      </c>
      <c r="C165" cm="1">
        <f t="array" ref="C165">INDEX(Optimization!$AT$4:$BW$33, INT((ROW()-1)/COLUMNS(Optimization!$AT$4:$BW$33))+1, MOD(ROW()-1, COLUMNS(Optimization!$AT$4:$BW$33))+1)</f>
        <v>0</v>
      </c>
    </row>
    <row r="166" spans="1:3" x14ac:dyDescent="0.25">
      <c r="A166">
        <v>166</v>
      </c>
      <c r="B166" cm="1">
        <f t="array" ref="B166">INDEX(Optimization!$F$4:$AI$33, INT((ROW()-1)/COLUMNS(Optimization!$F$4:$AI$33))+1, MOD(ROW()-1, COLUMNS(Optimization!$F$4:$AI$33))+1)</f>
        <v>-0.58568621242403995</v>
      </c>
      <c r="C166" cm="1">
        <f t="array" ref="C166">INDEX(Optimization!$AT$4:$BW$33, INT((ROW()-1)/COLUMNS(Optimization!$AT$4:$BW$33))+1, MOD(ROW()-1, COLUMNS(Optimization!$AT$4:$BW$33))+1)</f>
        <v>0</v>
      </c>
    </row>
    <row r="167" spans="1:3" x14ac:dyDescent="0.25">
      <c r="A167">
        <v>167</v>
      </c>
      <c r="B167" cm="1">
        <f t="array" ref="B167">INDEX(Optimization!$F$4:$AI$33, INT((ROW()-1)/COLUMNS(Optimization!$F$4:$AI$33))+1, MOD(ROW()-1, COLUMNS(Optimization!$F$4:$AI$33))+1)</f>
        <v>1.26803388674307</v>
      </c>
      <c r="C167" cm="1">
        <f t="array" ref="C167">INDEX(Optimization!$AT$4:$BW$33, INT((ROW()-1)/COLUMNS(Optimization!$AT$4:$BW$33))+1, MOD(ROW()-1, COLUMNS(Optimization!$AT$4:$BW$33))+1)</f>
        <v>0</v>
      </c>
    </row>
    <row r="168" spans="1:3" x14ac:dyDescent="0.25">
      <c r="A168">
        <v>168</v>
      </c>
      <c r="B168" cm="1">
        <f t="array" ref="B168">INDEX(Optimization!$F$4:$AI$33, INT((ROW()-1)/COLUMNS(Optimization!$F$4:$AI$33))+1, MOD(ROW()-1, COLUMNS(Optimization!$F$4:$AI$33))+1)</f>
        <v>-0.51607408895264995</v>
      </c>
      <c r="C168" cm="1">
        <f t="array" ref="C168">INDEX(Optimization!$AT$4:$BW$33, INT((ROW()-1)/COLUMNS(Optimization!$AT$4:$BW$33))+1, MOD(ROW()-1, COLUMNS(Optimization!$AT$4:$BW$33))+1)</f>
        <v>0</v>
      </c>
    </row>
    <row r="169" spans="1:3" x14ac:dyDescent="0.25">
      <c r="A169">
        <v>169</v>
      </c>
      <c r="B169" cm="1">
        <f t="array" ref="B169">INDEX(Optimization!$F$4:$AI$33, INT((ROW()-1)/COLUMNS(Optimization!$F$4:$AI$33))+1, MOD(ROW()-1, COLUMNS(Optimization!$F$4:$AI$33))+1)</f>
        <v>0.65332039723378499</v>
      </c>
      <c r="C169" cm="1">
        <f t="array" ref="C169">INDEX(Optimization!$AT$4:$BW$33, INT((ROW()-1)/COLUMNS(Optimization!$AT$4:$BW$33))+1, MOD(ROW()-1, COLUMNS(Optimization!$AT$4:$BW$33))+1)</f>
        <v>0</v>
      </c>
    </row>
    <row r="170" spans="1:3" x14ac:dyDescent="0.25">
      <c r="A170">
        <v>170</v>
      </c>
      <c r="B170" cm="1">
        <f t="array" ref="B170">INDEX(Optimization!$F$4:$AI$33, INT((ROW()-1)/COLUMNS(Optimization!$F$4:$AI$33))+1, MOD(ROW()-1, COLUMNS(Optimization!$F$4:$AI$33))+1)</f>
        <v>0.23001231850234799</v>
      </c>
      <c r="C170" cm="1">
        <f t="array" ref="C170">INDEX(Optimization!$AT$4:$BW$33, INT((ROW()-1)/COLUMNS(Optimization!$AT$4:$BW$33))+1, MOD(ROW()-1, COLUMNS(Optimization!$AT$4:$BW$33))+1)</f>
        <v>0</v>
      </c>
    </row>
    <row r="171" spans="1:3" x14ac:dyDescent="0.25">
      <c r="A171">
        <v>171</v>
      </c>
      <c r="B171" cm="1">
        <f t="array" ref="B171">INDEX(Optimization!$F$4:$AI$33, INT((ROW()-1)/COLUMNS(Optimization!$F$4:$AI$33))+1, MOD(ROW()-1, COLUMNS(Optimization!$F$4:$AI$33))+1)</f>
        <v>0.43451585971442103</v>
      </c>
      <c r="C171" cm="1">
        <f t="array" ref="C171">INDEX(Optimization!$AT$4:$BW$33, INT((ROW()-1)/COLUMNS(Optimization!$AT$4:$BW$33))+1, MOD(ROW()-1, COLUMNS(Optimization!$AT$4:$BW$33))+1)</f>
        <v>0</v>
      </c>
    </row>
    <row r="172" spans="1:3" x14ac:dyDescent="0.25">
      <c r="A172">
        <v>172</v>
      </c>
      <c r="B172" cm="1">
        <f t="array" ref="B172">INDEX(Optimization!$F$4:$AI$33, INT((ROW()-1)/COLUMNS(Optimization!$F$4:$AI$33))+1, MOD(ROW()-1, COLUMNS(Optimization!$F$4:$AI$33))+1)</f>
        <v>-0.80146826210301103</v>
      </c>
      <c r="C172" cm="1">
        <f t="array" ref="C172">INDEX(Optimization!$AT$4:$BW$33, INT((ROW()-1)/COLUMNS(Optimization!$AT$4:$BW$33))+1, MOD(ROW()-1, COLUMNS(Optimization!$AT$4:$BW$33))+1)</f>
        <v>0</v>
      </c>
    </row>
    <row r="173" spans="1:3" x14ac:dyDescent="0.25">
      <c r="A173">
        <v>173</v>
      </c>
      <c r="B173" cm="1">
        <f t="array" ref="B173">INDEX(Optimization!$F$4:$AI$33, INT((ROW()-1)/COLUMNS(Optimization!$F$4:$AI$33))+1, MOD(ROW()-1, COLUMNS(Optimization!$F$4:$AI$33))+1)</f>
        <v>0.70518650879253897</v>
      </c>
      <c r="C173" cm="1">
        <f t="array" ref="C173">INDEX(Optimization!$AT$4:$BW$33, INT((ROW()-1)/COLUMNS(Optimization!$AT$4:$BW$33))+1, MOD(ROW()-1, COLUMNS(Optimization!$AT$4:$BW$33))+1)</f>
        <v>0</v>
      </c>
    </row>
    <row r="174" spans="1:3" x14ac:dyDescent="0.25">
      <c r="A174">
        <v>174</v>
      </c>
      <c r="B174" cm="1">
        <f t="array" ref="B174">INDEX(Optimization!$F$4:$AI$33, INT((ROW()-1)/COLUMNS(Optimization!$F$4:$AI$33))+1, MOD(ROW()-1, COLUMNS(Optimization!$F$4:$AI$33))+1)</f>
        <v>0.12696914452868599</v>
      </c>
      <c r="C174" cm="1">
        <f t="array" ref="C174">INDEX(Optimization!$AT$4:$BW$33, INT((ROW()-1)/COLUMNS(Optimization!$AT$4:$BW$33))+1, MOD(ROW()-1, COLUMNS(Optimization!$AT$4:$BW$33))+1)</f>
        <v>0</v>
      </c>
    </row>
    <row r="175" spans="1:3" x14ac:dyDescent="0.25">
      <c r="A175">
        <v>175</v>
      </c>
      <c r="B175" cm="1">
        <f t="array" ref="B175">INDEX(Optimization!$F$4:$AI$33, INT((ROW()-1)/COLUMNS(Optimization!$F$4:$AI$33))+1, MOD(ROW()-1, COLUMNS(Optimization!$F$4:$AI$33))+1)</f>
        <v>-0.110164523394577</v>
      </c>
      <c r="C175" cm="1">
        <f t="array" ref="C175">INDEX(Optimization!$AT$4:$BW$33, INT((ROW()-1)/COLUMNS(Optimization!$AT$4:$BW$33))+1, MOD(ROW()-1, COLUMNS(Optimization!$AT$4:$BW$33))+1)</f>
        <v>0</v>
      </c>
    </row>
    <row r="176" spans="1:3" x14ac:dyDescent="0.25">
      <c r="A176">
        <v>176</v>
      </c>
      <c r="B176" cm="1">
        <f t="array" ref="B176">INDEX(Optimization!$F$4:$AI$33, INT((ROW()-1)/COLUMNS(Optimization!$F$4:$AI$33))+1, MOD(ROW()-1, COLUMNS(Optimization!$F$4:$AI$33))+1)</f>
        <v>0.245230511833954</v>
      </c>
      <c r="C176" cm="1">
        <f t="array" ref="C176">INDEX(Optimization!$AT$4:$BW$33, INT((ROW()-1)/COLUMNS(Optimization!$AT$4:$BW$33))+1, MOD(ROW()-1, COLUMNS(Optimization!$AT$4:$BW$33))+1)</f>
        <v>0</v>
      </c>
    </row>
    <row r="177" spans="1:3" x14ac:dyDescent="0.25">
      <c r="A177">
        <v>177</v>
      </c>
      <c r="B177" cm="1">
        <f t="array" ref="B177">INDEX(Optimization!$F$4:$AI$33, INT((ROW()-1)/COLUMNS(Optimization!$F$4:$AI$33))+1, MOD(ROW()-1, COLUMNS(Optimization!$F$4:$AI$33))+1)</f>
        <v>0.61511345235090997</v>
      </c>
      <c r="C177" cm="1">
        <f t="array" ref="C177">INDEX(Optimization!$AT$4:$BW$33, INT((ROW()-1)/COLUMNS(Optimization!$AT$4:$BW$33))+1, MOD(ROW()-1, COLUMNS(Optimization!$AT$4:$BW$33))+1)</f>
        <v>0</v>
      </c>
    </row>
    <row r="178" spans="1:3" x14ac:dyDescent="0.25">
      <c r="A178">
        <v>178</v>
      </c>
      <c r="B178" cm="1">
        <f t="array" ref="B178">INDEX(Optimization!$F$4:$AI$33, INT((ROW()-1)/COLUMNS(Optimization!$F$4:$AI$33))+1, MOD(ROW()-1, COLUMNS(Optimization!$F$4:$AI$33))+1)</f>
        <v>-0.478507096767608</v>
      </c>
      <c r="C178" cm="1">
        <f t="array" ref="C178">INDEX(Optimization!$AT$4:$BW$33, INT((ROW()-1)/COLUMNS(Optimization!$AT$4:$BW$33))+1, MOD(ROW()-1, COLUMNS(Optimization!$AT$4:$BW$33))+1)</f>
        <v>0</v>
      </c>
    </row>
    <row r="179" spans="1:3" x14ac:dyDescent="0.25">
      <c r="A179">
        <v>179</v>
      </c>
      <c r="B179" cm="1">
        <f t="array" ref="B179">INDEX(Optimization!$F$4:$AI$33, INT((ROW()-1)/COLUMNS(Optimization!$F$4:$AI$33))+1, MOD(ROW()-1, COLUMNS(Optimization!$F$4:$AI$33))+1)</f>
        <v>-0.628130959299391</v>
      </c>
      <c r="C179" cm="1">
        <f t="array" ref="C179">INDEX(Optimization!$AT$4:$BW$33, INT((ROW()-1)/COLUMNS(Optimization!$AT$4:$BW$33))+1, MOD(ROW()-1, COLUMNS(Optimization!$AT$4:$BW$33))+1)</f>
        <v>0</v>
      </c>
    </row>
    <row r="180" spans="1:3" x14ac:dyDescent="0.25">
      <c r="A180">
        <v>180</v>
      </c>
      <c r="B180" cm="1">
        <f t="array" ref="B180">INDEX(Optimization!$F$4:$AI$33, INT((ROW()-1)/COLUMNS(Optimization!$F$4:$AI$33))+1, MOD(ROW()-1, COLUMNS(Optimization!$F$4:$AI$33))+1)</f>
        <v>-0.62868963814024803</v>
      </c>
      <c r="C180" cm="1">
        <f t="array" ref="C180">INDEX(Optimization!$AT$4:$BW$33, INT((ROW()-1)/COLUMNS(Optimization!$AT$4:$BW$33))+1, MOD(ROW()-1, COLUMNS(Optimization!$AT$4:$BW$33))+1)</f>
        <v>0</v>
      </c>
    </row>
    <row r="181" spans="1:3" x14ac:dyDescent="0.25">
      <c r="A181">
        <v>181</v>
      </c>
      <c r="B181" cm="1">
        <f t="array" ref="B181">INDEX(Optimization!$F$4:$AI$33, INT((ROW()-1)/COLUMNS(Optimization!$F$4:$AI$33))+1, MOD(ROW()-1, COLUMNS(Optimization!$F$4:$AI$33))+1)</f>
        <v>-1.4849538298842799</v>
      </c>
      <c r="C181" cm="1">
        <f t="array" ref="C181">INDEX(Optimization!$AT$4:$BW$33, INT((ROW()-1)/COLUMNS(Optimization!$AT$4:$BW$33))+1, MOD(ROW()-1, COLUMNS(Optimization!$AT$4:$BW$33))+1)</f>
        <v>0</v>
      </c>
    </row>
    <row r="182" spans="1:3" x14ac:dyDescent="0.25">
      <c r="A182">
        <v>182</v>
      </c>
      <c r="B182" cm="1">
        <f t="array" ref="B182">INDEX(Optimization!$F$4:$AI$33, INT((ROW()-1)/COLUMNS(Optimization!$F$4:$AI$33))+1, MOD(ROW()-1, COLUMNS(Optimization!$F$4:$AI$33))+1)</f>
        <v>0.87348694870903398</v>
      </c>
      <c r="C182" cm="1">
        <f t="array" ref="C182">INDEX(Optimization!$AT$4:$BW$33, INT((ROW()-1)/COLUMNS(Optimization!$AT$4:$BW$33))+1, MOD(ROW()-1, COLUMNS(Optimization!$AT$4:$BW$33))+1)</f>
        <v>0</v>
      </c>
    </row>
    <row r="183" spans="1:3" x14ac:dyDescent="0.25">
      <c r="A183">
        <v>183</v>
      </c>
      <c r="B183" cm="1">
        <f t="array" ref="B183">INDEX(Optimization!$F$4:$AI$33, INT((ROW()-1)/COLUMNS(Optimization!$F$4:$AI$33))+1, MOD(ROW()-1, COLUMNS(Optimization!$F$4:$AI$33))+1)</f>
        <v>1.8890548645546701E-3</v>
      </c>
      <c r="C183" cm="1">
        <f t="array" ref="C183">INDEX(Optimization!$AT$4:$BW$33, INT((ROW()-1)/COLUMNS(Optimization!$AT$4:$BW$33))+1, MOD(ROW()-1, COLUMNS(Optimization!$AT$4:$BW$33))+1)</f>
        <v>0</v>
      </c>
    </row>
    <row r="184" spans="1:3" x14ac:dyDescent="0.25">
      <c r="A184">
        <v>184</v>
      </c>
      <c r="B184" cm="1">
        <f t="array" ref="B184">INDEX(Optimization!$F$4:$AI$33, INT((ROW()-1)/COLUMNS(Optimization!$F$4:$AI$33))+1, MOD(ROW()-1, COLUMNS(Optimization!$F$4:$AI$33))+1)</f>
        <v>-0.32494158170086901</v>
      </c>
      <c r="C184" cm="1">
        <f t="array" ref="C184">INDEX(Optimization!$AT$4:$BW$33, INT((ROW()-1)/COLUMNS(Optimization!$AT$4:$BW$33))+1, MOD(ROW()-1, COLUMNS(Optimization!$AT$4:$BW$33))+1)</f>
        <v>0</v>
      </c>
    </row>
    <row r="185" spans="1:3" x14ac:dyDescent="0.25">
      <c r="A185">
        <v>185</v>
      </c>
      <c r="B185" cm="1">
        <f t="array" ref="B185">INDEX(Optimization!$F$4:$AI$33, INT((ROW()-1)/COLUMNS(Optimization!$F$4:$AI$33))+1, MOD(ROW()-1, COLUMNS(Optimization!$F$4:$AI$33))+1)</f>
        <v>-1.48717043014467</v>
      </c>
      <c r="C185" cm="1">
        <f t="array" ref="C185">INDEX(Optimization!$AT$4:$BW$33, INT((ROW()-1)/COLUMNS(Optimization!$AT$4:$BW$33))+1, MOD(ROW()-1, COLUMNS(Optimization!$AT$4:$BW$33))+1)</f>
        <v>0</v>
      </c>
    </row>
    <row r="186" spans="1:3" x14ac:dyDescent="0.25">
      <c r="A186">
        <v>186</v>
      </c>
      <c r="B186" cm="1">
        <f t="array" ref="B186">INDEX(Optimization!$F$4:$AI$33, INT((ROW()-1)/COLUMNS(Optimization!$F$4:$AI$33))+1, MOD(ROW()-1, COLUMNS(Optimization!$F$4:$AI$33))+1)</f>
        <v>0.264402559071929</v>
      </c>
      <c r="C186" cm="1">
        <f t="array" ref="C186">INDEX(Optimization!$AT$4:$BW$33, INT((ROW()-1)/COLUMNS(Optimization!$AT$4:$BW$33))+1, MOD(ROW()-1, COLUMNS(Optimization!$AT$4:$BW$33))+1)</f>
        <v>0</v>
      </c>
    </row>
    <row r="187" spans="1:3" x14ac:dyDescent="0.25">
      <c r="A187">
        <v>187</v>
      </c>
      <c r="B187" cm="1">
        <f t="array" ref="B187">INDEX(Optimization!$F$4:$AI$33, INT((ROW()-1)/COLUMNS(Optimization!$F$4:$AI$33))+1, MOD(ROW()-1, COLUMNS(Optimization!$F$4:$AI$33))+1)</f>
        <v>0</v>
      </c>
      <c r="C187" cm="1">
        <f t="array" ref="C187">INDEX(Optimization!$AT$4:$BW$33, INT((ROW()-1)/COLUMNS(Optimization!$AT$4:$BW$33))+1, MOD(ROW()-1, COLUMNS(Optimization!$AT$4:$BW$33))+1)</f>
        <v>0</v>
      </c>
    </row>
    <row r="188" spans="1:3" x14ac:dyDescent="0.25">
      <c r="A188">
        <v>188</v>
      </c>
      <c r="B188" cm="1">
        <f t="array" ref="B188">INDEX(Optimization!$F$4:$AI$33, INT((ROW()-1)/COLUMNS(Optimization!$F$4:$AI$33))+1, MOD(ROW()-1, COLUMNS(Optimization!$F$4:$AI$33))+1)</f>
        <v>0.73315659509429099</v>
      </c>
      <c r="C188" cm="1">
        <f t="array" ref="C188">INDEX(Optimization!$AT$4:$BW$33, INT((ROW()-1)/COLUMNS(Optimization!$AT$4:$BW$33))+1, MOD(ROW()-1, COLUMNS(Optimization!$AT$4:$BW$33))+1)</f>
        <v>0</v>
      </c>
    </row>
    <row r="189" spans="1:3" x14ac:dyDescent="0.25">
      <c r="A189">
        <v>189</v>
      </c>
      <c r="B189" cm="1">
        <f t="array" ref="B189">INDEX(Optimization!$F$4:$AI$33, INT((ROW()-1)/COLUMNS(Optimization!$F$4:$AI$33))+1, MOD(ROW()-1, COLUMNS(Optimization!$F$4:$AI$33))+1)</f>
        <v>0.39113487530580299</v>
      </c>
      <c r="C189" cm="1">
        <f t="array" ref="C189">INDEX(Optimization!$AT$4:$BW$33, INT((ROW()-1)/COLUMNS(Optimization!$AT$4:$BW$33))+1, MOD(ROW()-1, COLUMNS(Optimization!$AT$4:$BW$33))+1)</f>
        <v>94</v>
      </c>
    </row>
    <row r="190" spans="1:3" x14ac:dyDescent="0.25">
      <c r="A190">
        <v>190</v>
      </c>
      <c r="B190" cm="1">
        <f t="array" ref="B190">INDEX(Optimization!$F$4:$AI$33, INT((ROW()-1)/COLUMNS(Optimization!$F$4:$AI$33))+1, MOD(ROW()-1, COLUMNS(Optimization!$F$4:$AI$33))+1)</f>
        <v>-1.1654003787315099</v>
      </c>
      <c r="C190" cm="1">
        <f t="array" ref="C190">INDEX(Optimization!$AT$4:$BW$33, INT((ROW()-1)/COLUMNS(Optimization!$AT$4:$BW$33))+1, MOD(ROW()-1, COLUMNS(Optimization!$AT$4:$BW$33))+1)</f>
        <v>0</v>
      </c>
    </row>
    <row r="191" spans="1:3" x14ac:dyDescent="0.25">
      <c r="A191">
        <v>191</v>
      </c>
      <c r="B191" cm="1">
        <f t="array" ref="B191">INDEX(Optimization!$F$4:$AI$33, INT((ROW()-1)/COLUMNS(Optimization!$F$4:$AI$33))+1, MOD(ROW()-1, COLUMNS(Optimization!$F$4:$AI$33))+1)</f>
        <v>-0.24480737429280999</v>
      </c>
      <c r="C191" cm="1">
        <f t="array" ref="C191">INDEX(Optimization!$AT$4:$BW$33, INT((ROW()-1)/COLUMNS(Optimization!$AT$4:$BW$33))+1, MOD(ROW()-1, COLUMNS(Optimization!$AT$4:$BW$33))+1)</f>
        <v>183</v>
      </c>
    </row>
    <row r="192" spans="1:3" x14ac:dyDescent="0.25">
      <c r="A192">
        <v>192</v>
      </c>
      <c r="B192" cm="1">
        <f t="array" ref="B192">INDEX(Optimization!$F$4:$AI$33, INT((ROW()-1)/COLUMNS(Optimization!$F$4:$AI$33))+1, MOD(ROW()-1, COLUMNS(Optimization!$F$4:$AI$33))+1)</f>
        <v>0.87756910634125296</v>
      </c>
      <c r="C192" cm="1">
        <f t="array" ref="C192">INDEX(Optimization!$AT$4:$BW$33, INT((ROW()-1)/COLUMNS(Optimization!$AT$4:$BW$33))+1, MOD(ROW()-1, COLUMNS(Optimization!$AT$4:$BW$33))+1)</f>
        <v>61</v>
      </c>
    </row>
    <row r="193" spans="1:3" x14ac:dyDescent="0.25">
      <c r="A193">
        <v>193</v>
      </c>
      <c r="B193" cm="1">
        <f t="array" ref="B193">INDEX(Optimization!$F$4:$AI$33, INT((ROW()-1)/COLUMNS(Optimization!$F$4:$AI$33))+1, MOD(ROW()-1, COLUMNS(Optimization!$F$4:$AI$33))+1)</f>
        <v>-0.37984659182723302</v>
      </c>
      <c r="C193" cm="1">
        <f t="array" ref="C193">INDEX(Optimization!$AT$4:$BW$33, INT((ROW()-1)/COLUMNS(Optimization!$AT$4:$BW$33))+1, MOD(ROW()-1, COLUMNS(Optimization!$AT$4:$BW$33))+1)</f>
        <v>0</v>
      </c>
    </row>
    <row r="194" spans="1:3" x14ac:dyDescent="0.25">
      <c r="A194">
        <v>194</v>
      </c>
      <c r="B194" cm="1">
        <f t="array" ref="B194">INDEX(Optimization!$F$4:$AI$33, INT((ROW()-1)/COLUMNS(Optimization!$F$4:$AI$33))+1, MOD(ROW()-1, COLUMNS(Optimization!$F$4:$AI$33))+1)</f>
        <v>0.77812072236795404</v>
      </c>
      <c r="C194" cm="1">
        <f t="array" ref="C194">INDEX(Optimization!$AT$4:$BW$33, INT((ROW()-1)/COLUMNS(Optimization!$AT$4:$BW$33))+1, MOD(ROW()-1, COLUMNS(Optimization!$AT$4:$BW$33))+1)</f>
        <v>0</v>
      </c>
    </row>
    <row r="195" spans="1:3" x14ac:dyDescent="0.25">
      <c r="A195">
        <v>195</v>
      </c>
      <c r="B195" cm="1">
        <f t="array" ref="B195">INDEX(Optimization!$F$4:$AI$33, INT((ROW()-1)/COLUMNS(Optimization!$F$4:$AI$33))+1, MOD(ROW()-1, COLUMNS(Optimization!$F$4:$AI$33))+1)</f>
        <v>1.4558359087831001</v>
      </c>
      <c r="C195" cm="1">
        <f t="array" ref="C195">INDEX(Optimization!$AT$4:$BW$33, INT((ROW()-1)/COLUMNS(Optimization!$AT$4:$BW$33))+1, MOD(ROW()-1, COLUMNS(Optimization!$AT$4:$BW$33))+1)</f>
        <v>195</v>
      </c>
    </row>
    <row r="196" spans="1:3" x14ac:dyDescent="0.25">
      <c r="A196">
        <v>196</v>
      </c>
      <c r="B196" cm="1">
        <f t="array" ref="B196">INDEX(Optimization!$F$4:$AI$33, INT((ROW()-1)/COLUMNS(Optimization!$F$4:$AI$33))+1, MOD(ROW()-1, COLUMNS(Optimization!$F$4:$AI$33))+1)</f>
        <v>2.04187285757471</v>
      </c>
      <c r="C196" cm="1">
        <f t="array" ref="C196">INDEX(Optimization!$AT$4:$BW$33, INT((ROW()-1)/COLUMNS(Optimization!$AT$4:$BW$33))+1, MOD(ROW()-1, COLUMNS(Optimization!$AT$4:$BW$33))+1)</f>
        <v>0</v>
      </c>
    </row>
    <row r="197" spans="1:3" x14ac:dyDescent="0.25">
      <c r="A197">
        <v>197</v>
      </c>
      <c r="B197" cm="1">
        <f t="array" ref="B197">INDEX(Optimization!$F$4:$AI$33, INT((ROW()-1)/COLUMNS(Optimization!$F$4:$AI$33))+1, MOD(ROW()-1, COLUMNS(Optimization!$F$4:$AI$33))+1)</f>
        <v>0.77967046388979</v>
      </c>
      <c r="C197" cm="1">
        <f t="array" ref="C197">INDEX(Optimization!$AT$4:$BW$33, INT((ROW()-1)/COLUMNS(Optimization!$AT$4:$BW$33))+1, MOD(ROW()-1, COLUMNS(Optimization!$AT$4:$BW$33))+1)</f>
        <v>30</v>
      </c>
    </row>
    <row r="198" spans="1:3" x14ac:dyDescent="0.25">
      <c r="A198">
        <v>198</v>
      </c>
      <c r="B198" cm="1">
        <f t="array" ref="B198">INDEX(Optimization!$F$4:$AI$33, INT((ROW()-1)/COLUMNS(Optimization!$F$4:$AI$33))+1, MOD(ROW()-1, COLUMNS(Optimization!$F$4:$AI$33))+1)</f>
        <v>0.58916309928594401</v>
      </c>
      <c r="C198" cm="1">
        <f t="array" ref="C198">INDEX(Optimization!$AT$4:$BW$33, INT((ROW()-1)/COLUMNS(Optimization!$AT$4:$BW$33))+1, MOD(ROW()-1, COLUMNS(Optimization!$AT$4:$BW$33))+1)</f>
        <v>0</v>
      </c>
    </row>
    <row r="199" spans="1:3" x14ac:dyDescent="0.25">
      <c r="A199">
        <v>199</v>
      </c>
      <c r="B199" cm="1">
        <f t="array" ref="B199">INDEX(Optimization!$F$4:$AI$33, INT((ROW()-1)/COLUMNS(Optimization!$F$4:$AI$33))+1, MOD(ROW()-1, COLUMNS(Optimization!$F$4:$AI$33))+1)</f>
        <v>1.5719416109061499</v>
      </c>
      <c r="C199" cm="1">
        <f t="array" ref="C199">INDEX(Optimization!$AT$4:$BW$33, INT((ROW()-1)/COLUMNS(Optimization!$AT$4:$BW$33))+1, MOD(ROW()-1, COLUMNS(Optimization!$AT$4:$BW$33))+1)</f>
        <v>0</v>
      </c>
    </row>
    <row r="200" spans="1:3" x14ac:dyDescent="0.25">
      <c r="A200">
        <v>200</v>
      </c>
      <c r="B200" cm="1">
        <f t="array" ref="B200">INDEX(Optimization!$F$4:$AI$33, INT((ROW()-1)/COLUMNS(Optimization!$F$4:$AI$33))+1, MOD(ROW()-1, COLUMNS(Optimization!$F$4:$AI$33))+1)</f>
        <v>0.88560793846395502</v>
      </c>
      <c r="C200" cm="1">
        <f t="array" ref="C200">INDEX(Optimization!$AT$4:$BW$33, INT((ROW()-1)/COLUMNS(Optimization!$AT$4:$BW$33))+1, MOD(ROW()-1, COLUMNS(Optimization!$AT$4:$BW$33))+1)</f>
        <v>0</v>
      </c>
    </row>
    <row r="201" spans="1:3" x14ac:dyDescent="0.25">
      <c r="A201">
        <v>201</v>
      </c>
      <c r="B201" cm="1">
        <f t="array" ref="B201">INDEX(Optimization!$F$4:$AI$33, INT((ROW()-1)/COLUMNS(Optimization!$F$4:$AI$33))+1, MOD(ROW()-1, COLUMNS(Optimization!$F$4:$AI$33))+1)</f>
        <v>-0.55529141827330997</v>
      </c>
      <c r="C201" cm="1">
        <f t="array" ref="C201">INDEX(Optimization!$AT$4:$BW$33, INT((ROW()-1)/COLUMNS(Optimization!$AT$4:$BW$33))+1, MOD(ROW()-1, COLUMNS(Optimization!$AT$4:$BW$33))+1)</f>
        <v>0</v>
      </c>
    </row>
    <row r="202" spans="1:3" x14ac:dyDescent="0.25">
      <c r="A202">
        <v>202</v>
      </c>
      <c r="B202" cm="1">
        <f t="array" ref="B202">INDEX(Optimization!$F$4:$AI$33, INT((ROW()-1)/COLUMNS(Optimization!$F$4:$AI$33))+1, MOD(ROW()-1, COLUMNS(Optimization!$F$4:$AI$33))+1)</f>
        <v>1.5641833208801002E-2</v>
      </c>
      <c r="C202" cm="1">
        <f t="array" ref="C202">INDEX(Optimization!$AT$4:$BW$33, INT((ROW()-1)/COLUMNS(Optimization!$AT$4:$BW$33))+1, MOD(ROW()-1, COLUMNS(Optimization!$AT$4:$BW$33))+1)</f>
        <v>0</v>
      </c>
    </row>
    <row r="203" spans="1:3" x14ac:dyDescent="0.25">
      <c r="A203">
        <v>203</v>
      </c>
      <c r="B203" cm="1">
        <f t="array" ref="B203">INDEX(Optimization!$F$4:$AI$33, INT((ROW()-1)/COLUMNS(Optimization!$F$4:$AI$33))+1, MOD(ROW()-1, COLUMNS(Optimization!$F$4:$AI$33))+1)</f>
        <v>-1.8422923728735802E-2</v>
      </c>
      <c r="C203" cm="1">
        <f t="array" ref="C203">INDEX(Optimization!$AT$4:$BW$33, INT((ROW()-1)/COLUMNS(Optimization!$AT$4:$BW$33))+1, MOD(ROW()-1, COLUMNS(Optimization!$AT$4:$BW$33))+1)</f>
        <v>0</v>
      </c>
    </row>
    <row r="204" spans="1:3" x14ac:dyDescent="0.25">
      <c r="A204">
        <v>204</v>
      </c>
      <c r="B204" cm="1">
        <f t="array" ref="B204">INDEX(Optimization!$F$4:$AI$33, INT((ROW()-1)/COLUMNS(Optimization!$F$4:$AI$33))+1, MOD(ROW()-1, COLUMNS(Optimization!$F$4:$AI$33))+1)</f>
        <v>-0.72076685264583495</v>
      </c>
      <c r="C204" cm="1">
        <f t="array" ref="C204">INDEX(Optimization!$AT$4:$BW$33, INT((ROW()-1)/COLUMNS(Optimization!$AT$4:$BW$33))+1, MOD(ROW()-1, COLUMNS(Optimization!$AT$4:$BW$33))+1)</f>
        <v>13</v>
      </c>
    </row>
    <row r="205" spans="1:3" x14ac:dyDescent="0.25">
      <c r="A205">
        <v>205</v>
      </c>
      <c r="B205" cm="1">
        <f t="array" ref="B205">INDEX(Optimization!$F$4:$AI$33, INT((ROW()-1)/COLUMNS(Optimization!$F$4:$AI$33))+1, MOD(ROW()-1, COLUMNS(Optimization!$F$4:$AI$33))+1)</f>
        <v>-0.19473584664238799</v>
      </c>
      <c r="C205" cm="1">
        <f t="array" ref="C205">INDEX(Optimization!$AT$4:$BW$33, INT((ROW()-1)/COLUMNS(Optimization!$AT$4:$BW$33))+1, MOD(ROW()-1, COLUMNS(Optimization!$AT$4:$BW$33))+1)</f>
        <v>0</v>
      </c>
    </row>
    <row r="206" spans="1:3" x14ac:dyDescent="0.25">
      <c r="A206">
        <v>206</v>
      </c>
      <c r="B206" cm="1">
        <f t="array" ref="B206">INDEX(Optimization!$F$4:$AI$33, INT((ROW()-1)/COLUMNS(Optimization!$F$4:$AI$33))+1, MOD(ROW()-1, COLUMNS(Optimization!$F$4:$AI$33))+1)</f>
        <v>0.58644075965159204</v>
      </c>
      <c r="C206" cm="1">
        <f t="array" ref="C206">INDEX(Optimization!$AT$4:$BW$33, INT((ROW()-1)/COLUMNS(Optimization!$AT$4:$BW$33))+1, MOD(ROW()-1, COLUMNS(Optimization!$AT$4:$BW$33))+1)</f>
        <v>0</v>
      </c>
    </row>
    <row r="207" spans="1:3" x14ac:dyDescent="0.25">
      <c r="A207">
        <v>207</v>
      </c>
      <c r="B207" cm="1">
        <f t="array" ref="B207">INDEX(Optimization!$F$4:$AI$33, INT((ROW()-1)/COLUMNS(Optimization!$F$4:$AI$33))+1, MOD(ROW()-1, COLUMNS(Optimization!$F$4:$AI$33))+1)</f>
        <v>-0.40362536036631902</v>
      </c>
      <c r="C207" cm="1">
        <f t="array" ref="C207">INDEX(Optimization!$AT$4:$BW$33, INT((ROW()-1)/COLUMNS(Optimization!$AT$4:$BW$33))+1, MOD(ROW()-1, COLUMNS(Optimization!$AT$4:$BW$33))+1)</f>
        <v>83</v>
      </c>
    </row>
    <row r="208" spans="1:3" x14ac:dyDescent="0.25">
      <c r="A208">
        <v>208</v>
      </c>
      <c r="B208" cm="1">
        <f t="array" ref="B208">INDEX(Optimization!$F$4:$AI$33, INT((ROW()-1)/COLUMNS(Optimization!$F$4:$AI$33))+1, MOD(ROW()-1, COLUMNS(Optimization!$F$4:$AI$33))+1)</f>
        <v>-1.13285495420847E-2</v>
      </c>
      <c r="C208" cm="1">
        <f t="array" ref="C208">INDEX(Optimization!$AT$4:$BW$33, INT((ROW()-1)/COLUMNS(Optimization!$AT$4:$BW$33))+1, MOD(ROW()-1, COLUMNS(Optimization!$AT$4:$BW$33))+1)</f>
        <v>0</v>
      </c>
    </row>
    <row r="209" spans="1:3" x14ac:dyDescent="0.25">
      <c r="A209">
        <v>209</v>
      </c>
      <c r="B209" cm="1">
        <f t="array" ref="B209">INDEX(Optimization!$F$4:$AI$33, INT((ROW()-1)/COLUMNS(Optimization!$F$4:$AI$33))+1, MOD(ROW()-1, COLUMNS(Optimization!$F$4:$AI$33))+1)</f>
        <v>1.5137950833399301</v>
      </c>
      <c r="C209" cm="1">
        <f t="array" ref="C209">INDEX(Optimization!$AT$4:$BW$33, INT((ROW()-1)/COLUMNS(Optimization!$AT$4:$BW$33))+1, MOD(ROW()-1, COLUMNS(Optimization!$AT$4:$BW$33))+1)</f>
        <v>141</v>
      </c>
    </row>
    <row r="210" spans="1:3" x14ac:dyDescent="0.25">
      <c r="A210">
        <v>210</v>
      </c>
      <c r="B210" cm="1">
        <f t="array" ref="B210">INDEX(Optimization!$F$4:$AI$33, INT((ROW()-1)/COLUMNS(Optimization!$F$4:$AI$33))+1, MOD(ROW()-1, COLUMNS(Optimization!$F$4:$AI$33))+1)</f>
        <v>0.89337929643480096</v>
      </c>
      <c r="C210" cm="1">
        <f t="array" ref="C210">INDEX(Optimization!$AT$4:$BW$33, INT((ROW()-1)/COLUMNS(Optimization!$AT$4:$BW$33))+1, MOD(ROW()-1, COLUMNS(Optimization!$AT$4:$BW$33))+1)</f>
        <v>200</v>
      </c>
    </row>
    <row r="211" spans="1:3" x14ac:dyDescent="0.25">
      <c r="A211">
        <v>211</v>
      </c>
      <c r="B211" cm="1">
        <f t="array" ref="B211">INDEX(Optimization!$F$4:$AI$33, INT((ROW()-1)/COLUMNS(Optimization!$F$4:$AI$33))+1, MOD(ROW()-1, COLUMNS(Optimization!$F$4:$AI$33))+1)</f>
        <v>-5.5826056726997898E-2</v>
      </c>
      <c r="C211" cm="1">
        <f t="array" ref="C211">INDEX(Optimization!$AT$4:$BW$33, INT((ROW()-1)/COLUMNS(Optimization!$AT$4:$BW$33))+1, MOD(ROW()-1, COLUMNS(Optimization!$AT$4:$BW$33))+1)</f>
        <v>0</v>
      </c>
    </row>
    <row r="212" spans="1:3" x14ac:dyDescent="0.25">
      <c r="A212">
        <v>212</v>
      </c>
      <c r="B212" cm="1">
        <f t="array" ref="B212">INDEX(Optimization!$F$4:$AI$33, INT((ROW()-1)/COLUMNS(Optimization!$F$4:$AI$33))+1, MOD(ROW()-1, COLUMNS(Optimization!$F$4:$AI$33))+1)</f>
        <v>0.86840686751216201</v>
      </c>
      <c r="C212" cm="1">
        <f t="array" ref="C212">INDEX(Optimization!$AT$4:$BW$33, INT((ROW()-1)/COLUMNS(Optimization!$AT$4:$BW$33))+1, MOD(ROW()-1, COLUMNS(Optimization!$AT$4:$BW$33))+1)</f>
        <v>0</v>
      </c>
    </row>
    <row r="213" spans="1:3" x14ac:dyDescent="0.25">
      <c r="A213">
        <v>213</v>
      </c>
      <c r="B213" cm="1">
        <f t="array" ref="B213">INDEX(Optimization!$F$4:$AI$33, INT((ROW()-1)/COLUMNS(Optimization!$F$4:$AI$33))+1, MOD(ROW()-1, COLUMNS(Optimization!$F$4:$AI$33))+1)</f>
        <v>-0.37573238534937697</v>
      </c>
      <c r="C213" cm="1">
        <f t="array" ref="C213">INDEX(Optimization!$AT$4:$BW$33, INT((ROW()-1)/COLUMNS(Optimization!$AT$4:$BW$33))+1, MOD(ROW()-1, COLUMNS(Optimization!$AT$4:$BW$33))+1)</f>
        <v>0</v>
      </c>
    </row>
    <row r="214" spans="1:3" x14ac:dyDescent="0.25">
      <c r="A214">
        <v>214</v>
      </c>
      <c r="B214" cm="1">
        <f t="array" ref="B214">INDEX(Optimization!$F$4:$AI$33, INT((ROW()-1)/COLUMNS(Optimization!$F$4:$AI$33))+1, MOD(ROW()-1, COLUMNS(Optimization!$F$4:$AI$33))+1)</f>
        <v>-0.20230664459521899</v>
      </c>
      <c r="C214" cm="1">
        <f t="array" ref="C214">INDEX(Optimization!$AT$4:$BW$33, INT((ROW()-1)/COLUMNS(Optimization!$AT$4:$BW$33))+1, MOD(ROW()-1, COLUMNS(Optimization!$AT$4:$BW$33))+1)</f>
        <v>0</v>
      </c>
    </row>
    <row r="215" spans="1:3" x14ac:dyDescent="0.25">
      <c r="A215">
        <v>215</v>
      </c>
      <c r="B215" cm="1">
        <f t="array" ref="B215">INDEX(Optimization!$F$4:$AI$33, INT((ROW()-1)/COLUMNS(Optimization!$F$4:$AI$33))+1, MOD(ROW()-1, COLUMNS(Optimization!$F$4:$AI$33))+1)</f>
        <v>-0.16094150204178501</v>
      </c>
      <c r="C215" cm="1">
        <f t="array" ref="C215">INDEX(Optimization!$AT$4:$BW$33, INT((ROW()-1)/COLUMNS(Optimization!$AT$4:$BW$33))+1, MOD(ROW()-1, COLUMNS(Optimization!$AT$4:$BW$33))+1)</f>
        <v>0</v>
      </c>
    </row>
    <row r="216" spans="1:3" x14ac:dyDescent="0.25">
      <c r="A216">
        <v>216</v>
      </c>
      <c r="B216" cm="1">
        <f t="array" ref="B216">INDEX(Optimization!$F$4:$AI$33, INT((ROW()-1)/COLUMNS(Optimization!$F$4:$AI$33))+1, MOD(ROW()-1, COLUMNS(Optimization!$F$4:$AI$33))+1)</f>
        <v>0.47695990657556298</v>
      </c>
      <c r="C216" cm="1">
        <f t="array" ref="C216">INDEX(Optimization!$AT$4:$BW$33, INT((ROW()-1)/COLUMNS(Optimization!$AT$4:$BW$33))+1, MOD(ROW()-1, COLUMNS(Optimization!$AT$4:$BW$33))+1)</f>
        <v>0</v>
      </c>
    </row>
    <row r="217" spans="1:3" x14ac:dyDescent="0.25">
      <c r="A217">
        <v>217</v>
      </c>
      <c r="B217" cm="1">
        <f t="array" ref="B217">INDEX(Optimization!$F$4:$AI$33, INT((ROW()-1)/COLUMNS(Optimization!$F$4:$AI$33))+1, MOD(ROW()-1, COLUMNS(Optimization!$F$4:$AI$33))+1)</f>
        <v>0.73315659509429099</v>
      </c>
      <c r="C217" cm="1">
        <f t="array" ref="C217">INDEX(Optimization!$AT$4:$BW$33, INT((ROW()-1)/COLUMNS(Optimization!$AT$4:$BW$33))+1, MOD(ROW()-1, COLUMNS(Optimization!$AT$4:$BW$33))+1)</f>
        <v>0</v>
      </c>
    </row>
    <row r="218" spans="1:3" x14ac:dyDescent="0.25">
      <c r="A218">
        <v>218</v>
      </c>
      <c r="B218" cm="1">
        <f t="array" ref="B218">INDEX(Optimization!$F$4:$AI$33, INT((ROW()-1)/COLUMNS(Optimization!$F$4:$AI$33))+1, MOD(ROW()-1, COLUMNS(Optimization!$F$4:$AI$33))+1)</f>
        <v>0</v>
      </c>
      <c r="C218" cm="1">
        <f t="array" ref="C218">INDEX(Optimization!$AT$4:$BW$33, INT((ROW()-1)/COLUMNS(Optimization!$AT$4:$BW$33))+1, MOD(ROW()-1, COLUMNS(Optimization!$AT$4:$BW$33))+1)</f>
        <v>0</v>
      </c>
    </row>
    <row r="219" spans="1:3" x14ac:dyDescent="0.25">
      <c r="A219">
        <v>219</v>
      </c>
      <c r="B219" cm="1">
        <f t="array" ref="B219">INDEX(Optimization!$F$4:$AI$33, INT((ROW()-1)/COLUMNS(Optimization!$F$4:$AI$33))+1, MOD(ROW()-1, COLUMNS(Optimization!$F$4:$AI$33))+1)</f>
        <v>1.0312511191365401</v>
      </c>
      <c r="C219" cm="1">
        <f t="array" ref="C219">INDEX(Optimization!$AT$4:$BW$33, INT((ROW()-1)/COLUMNS(Optimization!$AT$4:$BW$33))+1, MOD(ROW()-1, COLUMNS(Optimization!$AT$4:$BW$33))+1)</f>
        <v>0</v>
      </c>
    </row>
    <row r="220" spans="1:3" x14ac:dyDescent="0.25">
      <c r="A220">
        <v>220</v>
      </c>
      <c r="B220" cm="1">
        <f t="array" ref="B220">INDEX(Optimization!$F$4:$AI$33, INT((ROW()-1)/COLUMNS(Optimization!$F$4:$AI$33))+1, MOD(ROW()-1, COLUMNS(Optimization!$F$4:$AI$33))+1)</f>
        <v>-0.40494269772647301</v>
      </c>
      <c r="C220" cm="1">
        <f t="array" ref="C220">INDEX(Optimization!$AT$4:$BW$33, INT((ROW()-1)/COLUMNS(Optimization!$AT$4:$BW$33))+1, MOD(ROW()-1, COLUMNS(Optimization!$AT$4:$BW$33))+1)</f>
        <v>0</v>
      </c>
    </row>
    <row r="221" spans="1:3" x14ac:dyDescent="0.25">
      <c r="A221">
        <v>221</v>
      </c>
      <c r="B221" cm="1">
        <f t="array" ref="B221">INDEX(Optimization!$F$4:$AI$33, INT((ROW()-1)/COLUMNS(Optimization!$F$4:$AI$33))+1, MOD(ROW()-1, COLUMNS(Optimization!$F$4:$AI$33))+1)</f>
        <v>-0.819524628358967</v>
      </c>
      <c r="C221" cm="1">
        <f t="array" ref="C221">INDEX(Optimization!$AT$4:$BW$33, INT((ROW()-1)/COLUMNS(Optimization!$AT$4:$BW$33))+1, MOD(ROW()-1, COLUMNS(Optimization!$AT$4:$BW$33))+1)</f>
        <v>0</v>
      </c>
    </row>
    <row r="222" spans="1:3" x14ac:dyDescent="0.25">
      <c r="A222">
        <v>222</v>
      </c>
      <c r="B222" cm="1">
        <f t="array" ref="B222">INDEX(Optimization!$F$4:$AI$33, INT((ROW()-1)/COLUMNS(Optimization!$F$4:$AI$33))+1, MOD(ROW()-1, COLUMNS(Optimization!$F$4:$AI$33))+1)</f>
        <v>0.39264263703815899</v>
      </c>
      <c r="C222" cm="1">
        <f t="array" ref="C222">INDEX(Optimization!$AT$4:$BW$33, INT((ROW()-1)/COLUMNS(Optimization!$AT$4:$BW$33))+1, MOD(ROW()-1, COLUMNS(Optimization!$AT$4:$BW$33))+1)</f>
        <v>0</v>
      </c>
    </row>
    <row r="223" spans="1:3" x14ac:dyDescent="0.25">
      <c r="A223">
        <v>223</v>
      </c>
      <c r="B223" cm="1">
        <f t="array" ref="B223">INDEX(Optimization!$F$4:$AI$33, INT((ROW()-1)/COLUMNS(Optimization!$F$4:$AI$33))+1, MOD(ROW()-1, COLUMNS(Optimization!$F$4:$AI$33))+1)</f>
        <v>-0.161879541210631</v>
      </c>
      <c r="C223" cm="1">
        <f t="array" ref="C223">INDEX(Optimization!$AT$4:$BW$33, INT((ROW()-1)/COLUMNS(Optimization!$AT$4:$BW$33))+1, MOD(ROW()-1, COLUMNS(Optimization!$AT$4:$BW$33))+1)</f>
        <v>0</v>
      </c>
    </row>
    <row r="224" spans="1:3" x14ac:dyDescent="0.25">
      <c r="A224">
        <v>224</v>
      </c>
      <c r="B224" cm="1">
        <f t="array" ref="B224">INDEX(Optimization!$F$4:$AI$33, INT((ROW()-1)/COLUMNS(Optimization!$F$4:$AI$33))+1, MOD(ROW()-1, COLUMNS(Optimization!$F$4:$AI$33))+1)</f>
        <v>-1.0039090708590599</v>
      </c>
      <c r="C224" cm="1">
        <f t="array" ref="C224">INDEX(Optimization!$AT$4:$BW$33, INT((ROW()-1)/COLUMNS(Optimization!$AT$4:$BW$33))+1, MOD(ROW()-1, COLUMNS(Optimization!$AT$4:$BW$33))+1)</f>
        <v>0</v>
      </c>
    </row>
    <row r="225" spans="1:3" x14ac:dyDescent="0.25">
      <c r="A225">
        <v>225</v>
      </c>
      <c r="B225" cm="1">
        <f t="array" ref="B225">INDEX(Optimization!$F$4:$AI$33, INT((ROW()-1)/COLUMNS(Optimization!$F$4:$AI$33))+1, MOD(ROW()-1, COLUMNS(Optimization!$F$4:$AI$33))+1)</f>
        <v>1.8875048975743401E-2</v>
      </c>
      <c r="C225" cm="1">
        <f t="array" ref="C225">INDEX(Optimization!$AT$4:$BW$33, INT((ROW()-1)/COLUMNS(Optimization!$AT$4:$BW$33))+1, MOD(ROW()-1, COLUMNS(Optimization!$AT$4:$BW$33))+1)</f>
        <v>0</v>
      </c>
    </row>
    <row r="226" spans="1:3" x14ac:dyDescent="0.25">
      <c r="A226">
        <v>226</v>
      </c>
      <c r="B226" cm="1">
        <f t="array" ref="B226">INDEX(Optimization!$F$4:$AI$33, INT((ROW()-1)/COLUMNS(Optimization!$F$4:$AI$33))+1, MOD(ROW()-1, COLUMNS(Optimization!$F$4:$AI$33))+1)</f>
        <v>0.64992688059927595</v>
      </c>
      <c r="C226" cm="1">
        <f t="array" ref="C226">INDEX(Optimization!$AT$4:$BW$33, INT((ROW()-1)/COLUMNS(Optimization!$AT$4:$BW$33))+1, MOD(ROW()-1, COLUMNS(Optimization!$AT$4:$BW$33))+1)</f>
        <v>0</v>
      </c>
    </row>
    <row r="227" spans="1:3" x14ac:dyDescent="0.25">
      <c r="A227">
        <v>227</v>
      </c>
      <c r="B227" cm="1">
        <f t="array" ref="B227">INDEX(Optimization!$F$4:$AI$33, INT((ROW()-1)/COLUMNS(Optimization!$F$4:$AI$33))+1, MOD(ROW()-1, COLUMNS(Optimization!$F$4:$AI$33))+1)</f>
        <v>-0.23040894545995499</v>
      </c>
      <c r="C227" cm="1">
        <f t="array" ref="C227">INDEX(Optimization!$AT$4:$BW$33, INT((ROW()-1)/COLUMNS(Optimization!$AT$4:$BW$33))+1, MOD(ROW()-1, COLUMNS(Optimization!$AT$4:$BW$33))+1)</f>
        <v>0</v>
      </c>
    </row>
    <row r="228" spans="1:3" x14ac:dyDescent="0.25">
      <c r="A228">
        <v>228</v>
      </c>
      <c r="B228" cm="1">
        <f t="array" ref="B228">INDEX(Optimization!$F$4:$AI$33, INT((ROW()-1)/COLUMNS(Optimization!$F$4:$AI$33))+1, MOD(ROW()-1, COLUMNS(Optimization!$F$4:$AI$33))+1)</f>
        <v>-0.84750314548495498</v>
      </c>
      <c r="C228" cm="1">
        <f t="array" ref="C228">INDEX(Optimization!$AT$4:$BW$33, INT((ROW()-1)/COLUMNS(Optimization!$AT$4:$BW$33))+1, MOD(ROW()-1, COLUMNS(Optimization!$AT$4:$BW$33))+1)</f>
        <v>0</v>
      </c>
    </row>
    <row r="229" spans="1:3" x14ac:dyDescent="0.25">
      <c r="A229">
        <v>229</v>
      </c>
      <c r="B229" cm="1">
        <f t="array" ref="B229">INDEX(Optimization!$F$4:$AI$33, INT((ROW()-1)/COLUMNS(Optimization!$F$4:$AI$33))+1, MOD(ROW()-1, COLUMNS(Optimization!$F$4:$AI$33))+1)</f>
        <v>-0.92057907160016095</v>
      </c>
      <c r="C229" cm="1">
        <f t="array" ref="C229">INDEX(Optimization!$AT$4:$BW$33, INT((ROW()-1)/COLUMNS(Optimization!$AT$4:$BW$33))+1, MOD(ROW()-1, COLUMNS(Optimization!$AT$4:$BW$33))+1)</f>
        <v>0</v>
      </c>
    </row>
    <row r="230" spans="1:3" x14ac:dyDescent="0.25">
      <c r="A230">
        <v>230</v>
      </c>
      <c r="B230" cm="1">
        <f t="array" ref="B230">INDEX(Optimization!$F$4:$AI$33, INT((ROW()-1)/COLUMNS(Optimization!$F$4:$AI$33))+1, MOD(ROW()-1, COLUMNS(Optimization!$F$4:$AI$33))+1)</f>
        <v>0.155675627749193</v>
      </c>
      <c r="C230" cm="1">
        <f t="array" ref="C230">INDEX(Optimization!$AT$4:$BW$33, INT((ROW()-1)/COLUMNS(Optimization!$AT$4:$BW$33))+1, MOD(ROW()-1, COLUMNS(Optimization!$AT$4:$BW$33))+1)</f>
        <v>0</v>
      </c>
    </row>
    <row r="231" spans="1:3" x14ac:dyDescent="0.25">
      <c r="A231">
        <v>231</v>
      </c>
      <c r="B231" cm="1">
        <f t="array" ref="B231">INDEX(Optimization!$F$4:$AI$33, INT((ROW()-1)/COLUMNS(Optimization!$F$4:$AI$33))+1, MOD(ROW()-1, COLUMNS(Optimization!$F$4:$AI$33))+1)</f>
        <v>0.58560900210076805</v>
      </c>
      <c r="C231" cm="1">
        <f t="array" ref="C231">INDEX(Optimization!$AT$4:$BW$33, INT((ROW()-1)/COLUMNS(Optimization!$AT$4:$BW$33))+1, MOD(ROW()-1, COLUMNS(Optimization!$AT$4:$BW$33))+1)</f>
        <v>0</v>
      </c>
    </row>
    <row r="232" spans="1:3" x14ac:dyDescent="0.25">
      <c r="A232">
        <v>232</v>
      </c>
      <c r="B232" cm="1">
        <f t="array" ref="B232">INDEX(Optimization!$F$4:$AI$33, INT((ROW()-1)/COLUMNS(Optimization!$F$4:$AI$33))+1, MOD(ROW()-1, COLUMNS(Optimization!$F$4:$AI$33))+1)</f>
        <v>0.73556040040030901</v>
      </c>
      <c r="C232" cm="1">
        <f t="array" ref="C232">INDEX(Optimization!$AT$4:$BW$33, INT((ROW()-1)/COLUMNS(Optimization!$AT$4:$BW$33))+1, MOD(ROW()-1, COLUMNS(Optimization!$AT$4:$BW$33))+1)</f>
        <v>0</v>
      </c>
    </row>
    <row r="233" spans="1:3" x14ac:dyDescent="0.25">
      <c r="A233">
        <v>233</v>
      </c>
      <c r="B233" cm="1">
        <f t="array" ref="B233">INDEX(Optimization!$F$4:$AI$33, INT((ROW()-1)/COLUMNS(Optimization!$F$4:$AI$33))+1, MOD(ROW()-1, COLUMNS(Optimization!$F$4:$AI$33))+1)</f>
        <v>-0.46456858676021501</v>
      </c>
      <c r="C233" cm="1">
        <f t="array" ref="C233">INDEX(Optimization!$AT$4:$BW$33, INT((ROW()-1)/COLUMNS(Optimization!$AT$4:$BW$33))+1, MOD(ROW()-1, COLUMNS(Optimization!$AT$4:$BW$33))+1)</f>
        <v>0</v>
      </c>
    </row>
    <row r="234" spans="1:3" x14ac:dyDescent="0.25">
      <c r="A234">
        <v>234</v>
      </c>
      <c r="B234" cm="1">
        <f t="array" ref="B234">INDEX(Optimization!$F$4:$AI$33, INT((ROW()-1)/COLUMNS(Optimization!$F$4:$AI$33))+1, MOD(ROW()-1, COLUMNS(Optimization!$F$4:$AI$33))+1)</f>
        <v>2.6586836751998001E-2</v>
      </c>
      <c r="C234" cm="1">
        <f t="array" ref="C234">INDEX(Optimization!$AT$4:$BW$33, INT((ROW()-1)/COLUMNS(Optimization!$AT$4:$BW$33))+1, MOD(ROW()-1, COLUMNS(Optimization!$AT$4:$BW$33))+1)</f>
        <v>0</v>
      </c>
    </row>
    <row r="235" spans="1:3" x14ac:dyDescent="0.25">
      <c r="A235">
        <v>235</v>
      </c>
      <c r="B235" cm="1">
        <f t="array" ref="B235">INDEX(Optimization!$F$4:$AI$33, INT((ROW()-1)/COLUMNS(Optimization!$F$4:$AI$33))+1, MOD(ROW()-1, COLUMNS(Optimization!$F$4:$AI$33))+1)</f>
        <v>-1.72763802593741</v>
      </c>
      <c r="C235" cm="1">
        <f t="array" ref="C235">INDEX(Optimization!$AT$4:$BW$33, INT((ROW()-1)/COLUMNS(Optimization!$AT$4:$BW$33))+1, MOD(ROW()-1, COLUMNS(Optimization!$AT$4:$BW$33))+1)</f>
        <v>0</v>
      </c>
    </row>
    <row r="236" spans="1:3" x14ac:dyDescent="0.25">
      <c r="A236">
        <v>236</v>
      </c>
      <c r="B236" cm="1">
        <f t="array" ref="B236">INDEX(Optimization!$F$4:$AI$33, INT((ROW()-1)/COLUMNS(Optimization!$F$4:$AI$33))+1, MOD(ROW()-1, COLUMNS(Optimization!$F$4:$AI$33))+1)</f>
        <v>0.11004884188777</v>
      </c>
      <c r="C236" cm="1">
        <f t="array" ref="C236">INDEX(Optimization!$AT$4:$BW$33, INT((ROW()-1)/COLUMNS(Optimization!$AT$4:$BW$33))+1, MOD(ROW()-1, COLUMNS(Optimization!$AT$4:$BW$33))+1)</f>
        <v>0</v>
      </c>
    </row>
    <row r="237" spans="1:3" x14ac:dyDescent="0.25">
      <c r="A237">
        <v>237</v>
      </c>
      <c r="B237" cm="1">
        <f t="array" ref="B237">INDEX(Optimization!$F$4:$AI$33, INT((ROW()-1)/COLUMNS(Optimization!$F$4:$AI$33))+1, MOD(ROW()-1, COLUMNS(Optimization!$F$4:$AI$33))+1)</f>
        <v>0.92254772374947702</v>
      </c>
      <c r="C237" cm="1">
        <f t="array" ref="C237">INDEX(Optimization!$AT$4:$BW$33, INT((ROW()-1)/COLUMNS(Optimization!$AT$4:$BW$33))+1, MOD(ROW()-1, COLUMNS(Optimization!$AT$4:$BW$33))+1)</f>
        <v>0</v>
      </c>
    </row>
    <row r="238" spans="1:3" x14ac:dyDescent="0.25">
      <c r="A238">
        <v>238</v>
      </c>
      <c r="B238" cm="1">
        <f t="array" ref="B238">INDEX(Optimization!$F$4:$AI$33, INT((ROW()-1)/COLUMNS(Optimization!$F$4:$AI$33))+1, MOD(ROW()-1, COLUMNS(Optimization!$F$4:$AI$33))+1)</f>
        <v>0.36428358567848002</v>
      </c>
      <c r="C238" cm="1">
        <f t="array" ref="C238">INDEX(Optimization!$AT$4:$BW$33, INT((ROW()-1)/COLUMNS(Optimization!$AT$4:$BW$33))+1, MOD(ROW()-1, COLUMNS(Optimization!$AT$4:$BW$33))+1)</f>
        <v>0</v>
      </c>
    </row>
    <row r="239" spans="1:3" x14ac:dyDescent="0.25">
      <c r="A239">
        <v>239</v>
      </c>
      <c r="B239" cm="1">
        <f t="array" ref="B239">INDEX(Optimization!$F$4:$AI$33, INT((ROW()-1)/COLUMNS(Optimization!$F$4:$AI$33))+1, MOD(ROW()-1, COLUMNS(Optimization!$F$4:$AI$33))+1)</f>
        <v>-0.48944384316488299</v>
      </c>
      <c r="C239" cm="1">
        <f t="array" ref="C239">INDEX(Optimization!$AT$4:$BW$33, INT((ROW()-1)/COLUMNS(Optimization!$AT$4:$BW$33))+1, MOD(ROW()-1, COLUMNS(Optimization!$AT$4:$BW$33))+1)</f>
        <v>0</v>
      </c>
    </row>
    <row r="240" spans="1:3" x14ac:dyDescent="0.25">
      <c r="A240">
        <v>240</v>
      </c>
      <c r="B240" cm="1">
        <f t="array" ref="B240">INDEX(Optimization!$F$4:$AI$33, INT((ROW()-1)/COLUMNS(Optimization!$F$4:$AI$33))+1, MOD(ROW()-1, COLUMNS(Optimization!$F$4:$AI$33))+1)</f>
        <v>0.27096414221656001</v>
      </c>
      <c r="C240" cm="1">
        <f t="array" ref="C240">INDEX(Optimization!$AT$4:$BW$33, INT((ROW()-1)/COLUMNS(Optimization!$AT$4:$BW$33))+1, MOD(ROW()-1, COLUMNS(Optimization!$AT$4:$BW$33))+1)</f>
        <v>0</v>
      </c>
    </row>
    <row r="241" spans="1:3" x14ac:dyDescent="0.25">
      <c r="A241">
        <v>241</v>
      </c>
      <c r="B241" cm="1">
        <f t="array" ref="B241">INDEX(Optimization!$F$4:$AI$33, INT((ROW()-1)/COLUMNS(Optimization!$F$4:$AI$33))+1, MOD(ROW()-1, COLUMNS(Optimization!$F$4:$AI$33))+1)</f>
        <v>0.233100622645561</v>
      </c>
      <c r="C241" cm="1">
        <f t="array" ref="C241">INDEX(Optimization!$AT$4:$BW$33, INT((ROW()-1)/COLUMNS(Optimization!$AT$4:$BW$33))+1, MOD(ROW()-1, COLUMNS(Optimization!$AT$4:$BW$33))+1)</f>
        <v>0</v>
      </c>
    </row>
    <row r="242" spans="1:3" x14ac:dyDescent="0.25">
      <c r="A242">
        <v>242</v>
      </c>
      <c r="B242" cm="1">
        <f t="array" ref="B242">INDEX(Optimization!$F$4:$AI$33, INT((ROW()-1)/COLUMNS(Optimization!$F$4:$AI$33))+1, MOD(ROW()-1, COLUMNS(Optimization!$F$4:$AI$33))+1)</f>
        <v>-0.74805022331696003</v>
      </c>
      <c r="C242" cm="1">
        <f t="array" ref="C242">INDEX(Optimization!$AT$4:$BW$33, INT((ROW()-1)/COLUMNS(Optimization!$AT$4:$BW$33))+1, MOD(ROW()-1, COLUMNS(Optimization!$AT$4:$BW$33))+1)</f>
        <v>0</v>
      </c>
    </row>
    <row r="243" spans="1:3" x14ac:dyDescent="0.25">
      <c r="A243">
        <v>243</v>
      </c>
      <c r="B243" cm="1">
        <f t="array" ref="B243">INDEX(Optimization!$F$4:$AI$33, INT((ROW()-1)/COLUMNS(Optimization!$F$4:$AI$33))+1, MOD(ROW()-1, COLUMNS(Optimization!$F$4:$AI$33))+1)</f>
        <v>-0.45493069651093498</v>
      </c>
      <c r="C243" cm="1">
        <f t="array" ref="C243">INDEX(Optimization!$AT$4:$BW$33, INT((ROW()-1)/COLUMNS(Optimization!$AT$4:$BW$33))+1, MOD(ROW()-1, COLUMNS(Optimization!$AT$4:$BW$33))+1)</f>
        <v>0</v>
      </c>
    </row>
    <row r="244" spans="1:3" x14ac:dyDescent="0.25">
      <c r="A244">
        <v>244</v>
      </c>
      <c r="B244" cm="1">
        <f t="array" ref="B244">INDEX(Optimization!$F$4:$AI$33, INT((ROW()-1)/COLUMNS(Optimization!$F$4:$AI$33))+1, MOD(ROW()-1, COLUMNS(Optimization!$F$4:$AI$33))+1)</f>
        <v>0.18274523517077301</v>
      </c>
      <c r="C244" cm="1">
        <f t="array" ref="C244">INDEX(Optimization!$AT$4:$BW$33, INT((ROW()-1)/COLUMNS(Optimization!$AT$4:$BW$33))+1, MOD(ROW()-1, COLUMNS(Optimization!$AT$4:$BW$33))+1)</f>
        <v>0</v>
      </c>
    </row>
    <row r="245" spans="1:3" x14ac:dyDescent="0.25">
      <c r="A245">
        <v>245</v>
      </c>
      <c r="B245" cm="1">
        <f t="array" ref="B245">INDEX(Optimization!$F$4:$AI$33, INT((ROW()-1)/COLUMNS(Optimization!$F$4:$AI$33))+1, MOD(ROW()-1, COLUMNS(Optimization!$F$4:$AI$33))+1)</f>
        <v>0.63052308911433397</v>
      </c>
      <c r="C245" cm="1">
        <f t="array" ref="C245">INDEX(Optimization!$AT$4:$BW$33, INT((ROW()-1)/COLUMNS(Optimization!$AT$4:$BW$33))+1, MOD(ROW()-1, COLUMNS(Optimization!$AT$4:$BW$33))+1)</f>
        <v>0</v>
      </c>
    </row>
    <row r="246" spans="1:3" x14ac:dyDescent="0.25">
      <c r="A246">
        <v>246</v>
      </c>
      <c r="B246" cm="1">
        <f t="array" ref="B246">INDEX(Optimization!$F$4:$AI$33, INT((ROW()-1)/COLUMNS(Optimization!$F$4:$AI$33))+1, MOD(ROW()-1, COLUMNS(Optimization!$F$4:$AI$33))+1)</f>
        <v>-0.59158137990241</v>
      </c>
      <c r="C246" cm="1">
        <f t="array" ref="C246">INDEX(Optimization!$AT$4:$BW$33, INT((ROW()-1)/COLUMNS(Optimization!$AT$4:$BW$33))+1, MOD(ROW()-1, COLUMNS(Optimization!$AT$4:$BW$33))+1)</f>
        <v>0</v>
      </c>
    </row>
    <row r="247" spans="1:3" x14ac:dyDescent="0.25">
      <c r="A247">
        <v>247</v>
      </c>
      <c r="B247" cm="1">
        <f t="array" ref="B247">INDEX(Optimization!$F$4:$AI$33, INT((ROW()-1)/COLUMNS(Optimization!$F$4:$AI$33))+1, MOD(ROW()-1, COLUMNS(Optimization!$F$4:$AI$33))+1)</f>
        <v>0.39113487530580299</v>
      </c>
      <c r="C247" cm="1">
        <f t="array" ref="C247">INDEX(Optimization!$AT$4:$BW$33, INT((ROW()-1)/COLUMNS(Optimization!$AT$4:$BW$33))+1, MOD(ROW()-1, COLUMNS(Optimization!$AT$4:$BW$33))+1)</f>
        <v>0</v>
      </c>
    </row>
    <row r="248" spans="1:3" x14ac:dyDescent="0.25">
      <c r="A248">
        <v>248</v>
      </c>
      <c r="B248" cm="1">
        <f t="array" ref="B248">INDEX(Optimization!$F$4:$AI$33, INT((ROW()-1)/COLUMNS(Optimization!$F$4:$AI$33))+1, MOD(ROW()-1, COLUMNS(Optimization!$F$4:$AI$33))+1)</f>
        <v>1.0312511191365401</v>
      </c>
      <c r="C248" cm="1">
        <f t="array" ref="C248">INDEX(Optimization!$AT$4:$BW$33, INT((ROW()-1)/COLUMNS(Optimization!$AT$4:$BW$33))+1, MOD(ROW()-1, COLUMNS(Optimization!$AT$4:$BW$33))+1)</f>
        <v>0</v>
      </c>
    </row>
    <row r="249" spans="1:3" x14ac:dyDescent="0.25">
      <c r="A249">
        <v>249</v>
      </c>
      <c r="B249" cm="1">
        <f t="array" ref="B249">INDEX(Optimization!$F$4:$AI$33, INT((ROW()-1)/COLUMNS(Optimization!$F$4:$AI$33))+1, MOD(ROW()-1, COLUMNS(Optimization!$F$4:$AI$33))+1)</f>
        <v>0</v>
      </c>
      <c r="C249" cm="1">
        <f t="array" ref="C249">INDEX(Optimization!$AT$4:$BW$33, INT((ROW()-1)/COLUMNS(Optimization!$AT$4:$BW$33))+1, MOD(ROW()-1, COLUMNS(Optimization!$AT$4:$BW$33))+1)</f>
        <v>0</v>
      </c>
    </row>
    <row r="250" spans="1:3" x14ac:dyDescent="0.25">
      <c r="A250">
        <v>250</v>
      </c>
      <c r="B250" cm="1">
        <f t="array" ref="B250">INDEX(Optimization!$F$4:$AI$33, INT((ROW()-1)/COLUMNS(Optimization!$F$4:$AI$33))+1, MOD(ROW()-1, COLUMNS(Optimization!$F$4:$AI$33))+1)</f>
        <v>0.46614744704586097</v>
      </c>
      <c r="C250" cm="1">
        <f t="array" ref="C250">INDEX(Optimization!$AT$4:$BW$33, INT((ROW()-1)/COLUMNS(Optimization!$AT$4:$BW$33))+1, MOD(ROW()-1, COLUMNS(Optimization!$AT$4:$BW$33))+1)</f>
        <v>0</v>
      </c>
    </row>
    <row r="251" spans="1:3" x14ac:dyDescent="0.25">
      <c r="A251">
        <v>251</v>
      </c>
      <c r="B251" cm="1">
        <f t="array" ref="B251">INDEX(Optimization!$F$4:$AI$33, INT((ROW()-1)/COLUMNS(Optimization!$F$4:$AI$33))+1, MOD(ROW()-1, COLUMNS(Optimization!$F$4:$AI$33))+1)</f>
        <v>0.237465079459932</v>
      </c>
      <c r="C251" cm="1">
        <f t="array" ref="C251">INDEX(Optimization!$AT$4:$BW$33, INT((ROW()-1)/COLUMNS(Optimization!$AT$4:$BW$33))+1, MOD(ROW()-1, COLUMNS(Optimization!$AT$4:$BW$33))+1)</f>
        <v>0</v>
      </c>
    </row>
    <row r="252" spans="1:3" x14ac:dyDescent="0.25">
      <c r="A252">
        <v>252</v>
      </c>
      <c r="B252" cm="1">
        <f t="array" ref="B252">INDEX(Optimization!$F$4:$AI$33, INT((ROW()-1)/COLUMNS(Optimization!$F$4:$AI$33))+1, MOD(ROW()-1, COLUMNS(Optimization!$F$4:$AI$33))+1)</f>
        <v>0.497391365936733</v>
      </c>
      <c r="C252" cm="1">
        <f t="array" ref="C252">INDEX(Optimization!$AT$4:$BW$33, INT((ROW()-1)/COLUMNS(Optimization!$AT$4:$BW$33))+1, MOD(ROW()-1, COLUMNS(Optimization!$AT$4:$BW$33))+1)</f>
        <v>0</v>
      </c>
    </row>
    <row r="253" spans="1:3" x14ac:dyDescent="0.25">
      <c r="A253">
        <v>253</v>
      </c>
      <c r="B253" cm="1">
        <f t="array" ref="B253">INDEX(Optimization!$F$4:$AI$33, INT((ROW()-1)/COLUMNS(Optimization!$F$4:$AI$33))+1, MOD(ROW()-1, COLUMNS(Optimization!$F$4:$AI$33))+1)</f>
        <v>-0.37916508271968302</v>
      </c>
      <c r="C253" cm="1">
        <f t="array" ref="C253">INDEX(Optimization!$AT$4:$BW$33, INT((ROW()-1)/COLUMNS(Optimization!$AT$4:$BW$33))+1, MOD(ROW()-1, COLUMNS(Optimization!$AT$4:$BW$33))+1)</f>
        <v>0</v>
      </c>
    </row>
    <row r="254" spans="1:3" x14ac:dyDescent="0.25">
      <c r="A254">
        <v>254</v>
      </c>
      <c r="B254" cm="1">
        <f t="array" ref="B254">INDEX(Optimization!$F$4:$AI$33, INT((ROW()-1)/COLUMNS(Optimization!$F$4:$AI$33))+1, MOD(ROW()-1, COLUMNS(Optimization!$F$4:$AI$33))+1)</f>
        <v>-0.14399246269836399</v>
      </c>
      <c r="C254" cm="1">
        <f t="array" ref="C254">INDEX(Optimization!$AT$4:$BW$33, INT((ROW()-1)/COLUMNS(Optimization!$AT$4:$BW$33))+1, MOD(ROW()-1, COLUMNS(Optimization!$AT$4:$BW$33))+1)</f>
        <v>0</v>
      </c>
    </row>
    <row r="255" spans="1:3" x14ac:dyDescent="0.25">
      <c r="A255">
        <v>255</v>
      </c>
      <c r="B255" cm="1">
        <f t="array" ref="B255">INDEX(Optimization!$F$4:$AI$33, INT((ROW()-1)/COLUMNS(Optimization!$F$4:$AI$33))+1, MOD(ROW()-1, COLUMNS(Optimization!$F$4:$AI$33))+1)</f>
        <v>-0.170076354502077</v>
      </c>
      <c r="C255" cm="1">
        <f t="array" ref="C255">INDEX(Optimization!$AT$4:$BW$33, INT((ROW()-1)/COLUMNS(Optimization!$AT$4:$BW$33))+1, MOD(ROW()-1, COLUMNS(Optimization!$AT$4:$BW$33))+1)</f>
        <v>0</v>
      </c>
    </row>
    <row r="256" spans="1:3" x14ac:dyDescent="0.25">
      <c r="A256">
        <v>256</v>
      </c>
      <c r="B256" cm="1">
        <f t="array" ref="B256">INDEX(Optimization!$F$4:$AI$33, INT((ROW()-1)/COLUMNS(Optimization!$F$4:$AI$33))+1, MOD(ROW()-1, COLUMNS(Optimization!$F$4:$AI$33))+1)</f>
        <v>0.28693618067216697</v>
      </c>
      <c r="C256" cm="1">
        <f t="array" ref="C256">INDEX(Optimization!$AT$4:$BW$33, INT((ROW()-1)/COLUMNS(Optimization!$AT$4:$BW$33))+1, MOD(ROW()-1, COLUMNS(Optimization!$AT$4:$BW$33))+1)</f>
        <v>0</v>
      </c>
    </row>
    <row r="257" spans="1:3" x14ac:dyDescent="0.25">
      <c r="A257">
        <v>257</v>
      </c>
      <c r="B257" cm="1">
        <f t="array" ref="B257">INDEX(Optimization!$F$4:$AI$33, INT((ROW()-1)/COLUMNS(Optimization!$F$4:$AI$33))+1, MOD(ROW()-1, COLUMNS(Optimization!$F$4:$AI$33))+1)</f>
        <v>-0.41211238268572897</v>
      </c>
      <c r="C257" cm="1">
        <f t="array" ref="C257">INDEX(Optimization!$AT$4:$BW$33, INT((ROW()-1)/COLUMNS(Optimization!$AT$4:$BW$33))+1, MOD(ROW()-1, COLUMNS(Optimization!$AT$4:$BW$33))+1)</f>
        <v>0</v>
      </c>
    </row>
    <row r="258" spans="1:3" x14ac:dyDescent="0.25">
      <c r="A258">
        <v>258</v>
      </c>
      <c r="B258" cm="1">
        <f t="array" ref="B258">INDEX(Optimization!$F$4:$AI$33, INT((ROW()-1)/COLUMNS(Optimization!$F$4:$AI$33))+1, MOD(ROW()-1, COLUMNS(Optimization!$F$4:$AI$33))+1)</f>
        <v>0.43753892099449099</v>
      </c>
      <c r="C258" cm="1">
        <f t="array" ref="C258">INDEX(Optimization!$AT$4:$BW$33, INT((ROW()-1)/COLUMNS(Optimization!$AT$4:$BW$33))+1, MOD(ROW()-1, COLUMNS(Optimization!$AT$4:$BW$33))+1)</f>
        <v>0</v>
      </c>
    </row>
    <row r="259" spans="1:3" x14ac:dyDescent="0.25">
      <c r="A259">
        <v>259</v>
      </c>
      <c r="B259" cm="1">
        <f t="array" ref="B259">INDEX(Optimization!$F$4:$AI$33, INT((ROW()-1)/COLUMNS(Optimization!$F$4:$AI$33))+1, MOD(ROW()-1, COLUMNS(Optimization!$F$4:$AI$33))+1)</f>
        <v>-0.64275358759630596</v>
      </c>
      <c r="C259" cm="1">
        <f t="array" ref="C259">INDEX(Optimization!$AT$4:$BW$33, INT((ROW()-1)/COLUMNS(Optimization!$AT$4:$BW$33))+1, MOD(ROW()-1, COLUMNS(Optimization!$AT$4:$BW$33))+1)</f>
        <v>0</v>
      </c>
    </row>
    <row r="260" spans="1:3" x14ac:dyDescent="0.25">
      <c r="A260">
        <v>260</v>
      </c>
      <c r="B260" cm="1">
        <f t="array" ref="B260">INDEX(Optimization!$F$4:$AI$33, INT((ROW()-1)/COLUMNS(Optimization!$F$4:$AI$33))+1, MOD(ROW()-1, COLUMNS(Optimization!$F$4:$AI$33))+1)</f>
        <v>0.57643110280546395</v>
      </c>
      <c r="C260" cm="1">
        <f t="array" ref="C260">INDEX(Optimization!$AT$4:$BW$33, INT((ROW()-1)/COLUMNS(Optimization!$AT$4:$BW$33))+1, MOD(ROW()-1, COLUMNS(Optimization!$AT$4:$BW$33))+1)</f>
        <v>0</v>
      </c>
    </row>
    <row r="261" spans="1:3" x14ac:dyDescent="0.25">
      <c r="A261">
        <v>261</v>
      </c>
      <c r="B261" cm="1">
        <f t="array" ref="B261">INDEX(Optimization!$F$4:$AI$33, INT((ROW()-1)/COLUMNS(Optimization!$F$4:$AI$33))+1, MOD(ROW()-1, COLUMNS(Optimization!$F$4:$AI$33))+1)</f>
        <v>0.47193509271107698</v>
      </c>
      <c r="C261" cm="1">
        <f t="array" ref="C261">INDEX(Optimization!$AT$4:$BW$33, INT((ROW()-1)/COLUMNS(Optimization!$AT$4:$BW$33))+1, MOD(ROW()-1, COLUMNS(Optimization!$AT$4:$BW$33))+1)</f>
        <v>0</v>
      </c>
    </row>
    <row r="262" spans="1:3" x14ac:dyDescent="0.25">
      <c r="A262">
        <v>262</v>
      </c>
      <c r="B262" cm="1">
        <f t="array" ref="B262">INDEX(Optimization!$F$4:$AI$33, INT((ROW()-1)/COLUMNS(Optimization!$F$4:$AI$33))+1, MOD(ROW()-1, COLUMNS(Optimization!$F$4:$AI$33))+1)</f>
        <v>0.87079074971359904</v>
      </c>
      <c r="C262" cm="1">
        <f t="array" ref="C262">INDEX(Optimization!$AT$4:$BW$33, INT((ROW()-1)/COLUMNS(Optimization!$AT$4:$BW$33))+1, MOD(ROW()-1, COLUMNS(Optimization!$AT$4:$BW$33))+1)</f>
        <v>0</v>
      </c>
    </row>
    <row r="263" spans="1:3" x14ac:dyDescent="0.25">
      <c r="A263">
        <v>263</v>
      </c>
      <c r="B263" cm="1">
        <f t="array" ref="B263">INDEX(Optimization!$F$4:$AI$33, INT((ROW()-1)/COLUMNS(Optimization!$F$4:$AI$33))+1, MOD(ROW()-1, COLUMNS(Optimization!$F$4:$AI$33))+1)</f>
        <v>0.47923852122444599</v>
      </c>
      <c r="C263" cm="1">
        <f t="array" ref="C263">INDEX(Optimization!$AT$4:$BW$33, INT((ROW()-1)/COLUMNS(Optimization!$AT$4:$BW$33))+1, MOD(ROW()-1, COLUMNS(Optimization!$AT$4:$BW$33))+1)</f>
        <v>0</v>
      </c>
    </row>
    <row r="264" spans="1:3" x14ac:dyDescent="0.25">
      <c r="A264">
        <v>264</v>
      </c>
      <c r="B264" cm="1">
        <f t="array" ref="B264">INDEX(Optimization!$F$4:$AI$33, INT((ROW()-1)/COLUMNS(Optimization!$F$4:$AI$33))+1, MOD(ROW()-1, COLUMNS(Optimization!$F$4:$AI$33))+1)</f>
        <v>9.69608165848454E-2</v>
      </c>
      <c r="C264" cm="1">
        <f t="array" ref="C264">INDEX(Optimization!$AT$4:$BW$33, INT((ROW()-1)/COLUMNS(Optimization!$AT$4:$BW$33))+1, MOD(ROW()-1, COLUMNS(Optimization!$AT$4:$BW$33))+1)</f>
        <v>0</v>
      </c>
    </row>
    <row r="265" spans="1:3" x14ac:dyDescent="0.25">
      <c r="A265">
        <v>265</v>
      </c>
      <c r="B265" cm="1">
        <f t="array" ref="B265">INDEX(Optimization!$F$4:$AI$33, INT((ROW()-1)/COLUMNS(Optimization!$F$4:$AI$33))+1, MOD(ROW()-1, COLUMNS(Optimization!$F$4:$AI$33))+1)</f>
        <v>-0.30216287967738698</v>
      </c>
      <c r="C265" cm="1">
        <f t="array" ref="C265">INDEX(Optimization!$AT$4:$BW$33, INT((ROW()-1)/COLUMNS(Optimization!$AT$4:$BW$33))+1, MOD(ROW()-1, COLUMNS(Optimization!$AT$4:$BW$33))+1)</f>
        <v>0</v>
      </c>
    </row>
    <row r="266" spans="1:3" x14ac:dyDescent="0.25">
      <c r="A266">
        <v>266</v>
      </c>
      <c r="B266" cm="1">
        <f t="array" ref="B266">INDEX(Optimization!$F$4:$AI$33, INT((ROW()-1)/COLUMNS(Optimization!$F$4:$AI$33))+1, MOD(ROW()-1, COLUMNS(Optimization!$F$4:$AI$33))+1)</f>
        <v>5.9194642446617103E-2</v>
      </c>
      <c r="C266" cm="1">
        <f t="array" ref="C266">INDEX(Optimization!$AT$4:$BW$33, INT((ROW()-1)/COLUMNS(Optimization!$AT$4:$BW$33))+1, MOD(ROW()-1, COLUMNS(Optimization!$AT$4:$BW$33))+1)</f>
        <v>0</v>
      </c>
    </row>
    <row r="267" spans="1:3" x14ac:dyDescent="0.25">
      <c r="A267">
        <v>267</v>
      </c>
      <c r="B267" cm="1">
        <f t="array" ref="B267">INDEX(Optimization!$F$4:$AI$33, INT((ROW()-1)/COLUMNS(Optimization!$F$4:$AI$33))+1, MOD(ROW()-1, COLUMNS(Optimization!$F$4:$AI$33))+1)</f>
        <v>-3.0154022455411902E-2</v>
      </c>
      <c r="C267" cm="1">
        <f t="array" ref="C267">INDEX(Optimization!$AT$4:$BW$33, INT((ROW()-1)/COLUMNS(Optimization!$AT$4:$BW$33))+1, MOD(ROW()-1, COLUMNS(Optimization!$AT$4:$BW$33))+1)</f>
        <v>0</v>
      </c>
    </row>
    <row r="268" spans="1:3" x14ac:dyDescent="0.25">
      <c r="A268">
        <v>268</v>
      </c>
      <c r="B268" cm="1">
        <f t="array" ref="B268">INDEX(Optimization!$F$4:$AI$33, INT((ROW()-1)/COLUMNS(Optimization!$F$4:$AI$33))+1, MOD(ROW()-1, COLUMNS(Optimization!$F$4:$AI$33))+1)</f>
        <v>0.31454206382537397</v>
      </c>
      <c r="C268" cm="1">
        <f t="array" ref="C268">INDEX(Optimization!$AT$4:$BW$33, INT((ROW()-1)/COLUMNS(Optimization!$AT$4:$BW$33))+1, MOD(ROW()-1, COLUMNS(Optimization!$AT$4:$BW$33))+1)</f>
        <v>0</v>
      </c>
    </row>
    <row r="269" spans="1:3" x14ac:dyDescent="0.25">
      <c r="A269">
        <v>269</v>
      </c>
      <c r="B269" cm="1">
        <f t="array" ref="B269">INDEX(Optimization!$F$4:$AI$33, INT((ROW()-1)/COLUMNS(Optimization!$F$4:$AI$33))+1, MOD(ROW()-1, COLUMNS(Optimization!$F$4:$AI$33))+1)</f>
        <v>7.0213828229987604E-2</v>
      </c>
      <c r="C269" cm="1">
        <f t="array" ref="C269">INDEX(Optimization!$AT$4:$BW$33, INT((ROW()-1)/COLUMNS(Optimization!$AT$4:$BW$33))+1, MOD(ROW()-1, COLUMNS(Optimization!$AT$4:$BW$33))+1)</f>
        <v>0</v>
      </c>
    </row>
    <row r="270" spans="1:3" x14ac:dyDescent="0.25">
      <c r="A270">
        <v>270</v>
      </c>
      <c r="B270" cm="1">
        <f t="array" ref="B270">INDEX(Optimization!$F$4:$AI$33, INT((ROW()-1)/COLUMNS(Optimization!$F$4:$AI$33))+1, MOD(ROW()-1, COLUMNS(Optimization!$F$4:$AI$33))+1)</f>
        <v>-8.4051916289703404E-2</v>
      </c>
      <c r="C270" cm="1">
        <f t="array" ref="C270">INDEX(Optimization!$AT$4:$BW$33, INT((ROW()-1)/COLUMNS(Optimization!$AT$4:$BW$33))+1, MOD(ROW()-1, COLUMNS(Optimization!$AT$4:$BW$33))+1)</f>
        <v>0</v>
      </c>
    </row>
    <row r="271" spans="1:3" x14ac:dyDescent="0.25">
      <c r="A271">
        <v>271</v>
      </c>
      <c r="B271" cm="1">
        <f t="array" ref="B271">INDEX(Optimization!$F$4:$AI$33, INT((ROW()-1)/COLUMNS(Optimization!$F$4:$AI$33))+1, MOD(ROW()-1, COLUMNS(Optimization!$F$4:$AI$33))+1)</f>
        <v>-0.55120302390134401</v>
      </c>
      <c r="C271" cm="1">
        <f t="array" ref="C271">INDEX(Optimization!$AT$4:$BW$33, INT((ROW()-1)/COLUMNS(Optimization!$AT$4:$BW$33))+1, MOD(ROW()-1, COLUMNS(Optimization!$AT$4:$BW$33))+1)</f>
        <v>0</v>
      </c>
    </row>
    <row r="272" spans="1:3" x14ac:dyDescent="0.25">
      <c r="A272">
        <v>272</v>
      </c>
      <c r="B272" cm="1">
        <f t="array" ref="B272">INDEX(Optimization!$F$4:$AI$33, INT((ROW()-1)/COLUMNS(Optimization!$F$4:$AI$33))+1, MOD(ROW()-1, COLUMNS(Optimization!$F$4:$AI$33))+1)</f>
        <v>-0.53243155290007504</v>
      </c>
      <c r="C272" cm="1">
        <f t="array" ref="C272">INDEX(Optimization!$AT$4:$BW$33, INT((ROW()-1)/COLUMNS(Optimization!$AT$4:$BW$33))+1, MOD(ROW()-1, COLUMNS(Optimization!$AT$4:$BW$33))+1)</f>
        <v>0</v>
      </c>
    </row>
    <row r="273" spans="1:3" x14ac:dyDescent="0.25">
      <c r="A273">
        <v>273</v>
      </c>
      <c r="B273" cm="1">
        <f t="array" ref="B273">INDEX(Optimization!$F$4:$AI$33, INT((ROW()-1)/COLUMNS(Optimization!$F$4:$AI$33))+1, MOD(ROW()-1, COLUMNS(Optimization!$F$4:$AI$33))+1)</f>
        <v>-0.73053561368001896</v>
      </c>
      <c r="C273" cm="1">
        <f t="array" ref="C273">INDEX(Optimization!$AT$4:$BW$33, INT((ROW()-1)/COLUMNS(Optimization!$AT$4:$BW$33))+1, MOD(ROW()-1, COLUMNS(Optimization!$AT$4:$BW$33))+1)</f>
        <v>0</v>
      </c>
    </row>
    <row r="274" spans="1:3" x14ac:dyDescent="0.25">
      <c r="A274">
        <v>274</v>
      </c>
      <c r="B274" cm="1">
        <f t="array" ref="B274">INDEX(Optimization!$F$4:$AI$33, INT((ROW()-1)/COLUMNS(Optimization!$F$4:$AI$33))+1, MOD(ROW()-1, COLUMNS(Optimization!$F$4:$AI$33))+1)</f>
        <v>0.82295810863496299</v>
      </c>
      <c r="C274" cm="1">
        <f t="array" ref="C274">INDEX(Optimization!$AT$4:$BW$33, INT((ROW()-1)/COLUMNS(Optimization!$AT$4:$BW$33))+1, MOD(ROW()-1, COLUMNS(Optimization!$AT$4:$BW$33))+1)</f>
        <v>0</v>
      </c>
    </row>
    <row r="275" spans="1:3" x14ac:dyDescent="0.25">
      <c r="A275">
        <v>275</v>
      </c>
      <c r="B275" cm="1">
        <f t="array" ref="B275">INDEX(Optimization!$F$4:$AI$33, INT((ROW()-1)/COLUMNS(Optimization!$F$4:$AI$33))+1, MOD(ROW()-1, COLUMNS(Optimization!$F$4:$AI$33))+1)</f>
        <v>-0.41019693122726197</v>
      </c>
      <c r="C275" cm="1">
        <f t="array" ref="C275">INDEX(Optimization!$AT$4:$BW$33, INT((ROW()-1)/COLUMNS(Optimization!$AT$4:$BW$33))+1, MOD(ROW()-1, COLUMNS(Optimization!$AT$4:$BW$33))+1)</f>
        <v>0</v>
      </c>
    </row>
    <row r="276" spans="1:3" x14ac:dyDescent="0.25">
      <c r="A276">
        <v>276</v>
      </c>
      <c r="B276" cm="1">
        <f t="array" ref="B276">INDEX(Optimization!$F$4:$AI$33, INT((ROW()-1)/COLUMNS(Optimization!$F$4:$AI$33))+1, MOD(ROW()-1, COLUMNS(Optimization!$F$4:$AI$33))+1)</f>
        <v>0.29507734825624499</v>
      </c>
      <c r="C276" cm="1">
        <f t="array" ref="C276">INDEX(Optimization!$AT$4:$BW$33, INT((ROW()-1)/COLUMNS(Optimization!$AT$4:$BW$33))+1, MOD(ROW()-1, COLUMNS(Optimization!$AT$4:$BW$33))+1)</f>
        <v>0</v>
      </c>
    </row>
    <row r="277" spans="1:3" x14ac:dyDescent="0.25">
      <c r="A277">
        <v>277</v>
      </c>
      <c r="B277" cm="1">
        <f t="array" ref="B277">INDEX(Optimization!$F$4:$AI$33, INT((ROW()-1)/COLUMNS(Optimization!$F$4:$AI$33))+1, MOD(ROW()-1, COLUMNS(Optimization!$F$4:$AI$33))+1)</f>
        <v>-1.1654003787315099</v>
      </c>
      <c r="C277" cm="1">
        <f t="array" ref="C277">INDEX(Optimization!$AT$4:$BW$33, INT((ROW()-1)/COLUMNS(Optimization!$AT$4:$BW$33))+1, MOD(ROW()-1, COLUMNS(Optimization!$AT$4:$BW$33))+1)</f>
        <v>0</v>
      </c>
    </row>
    <row r="278" spans="1:3" x14ac:dyDescent="0.25">
      <c r="A278">
        <v>278</v>
      </c>
      <c r="B278" cm="1">
        <f t="array" ref="B278">INDEX(Optimization!$F$4:$AI$33, INT((ROW()-1)/COLUMNS(Optimization!$F$4:$AI$33))+1, MOD(ROW()-1, COLUMNS(Optimization!$F$4:$AI$33))+1)</f>
        <v>-0.40494269772647301</v>
      </c>
      <c r="C278" cm="1">
        <f t="array" ref="C278">INDEX(Optimization!$AT$4:$BW$33, INT((ROW()-1)/COLUMNS(Optimization!$AT$4:$BW$33))+1, MOD(ROW()-1, COLUMNS(Optimization!$AT$4:$BW$33))+1)</f>
        <v>0</v>
      </c>
    </row>
    <row r="279" spans="1:3" x14ac:dyDescent="0.25">
      <c r="A279">
        <v>279</v>
      </c>
      <c r="B279" cm="1">
        <f t="array" ref="B279">INDEX(Optimization!$F$4:$AI$33, INT((ROW()-1)/COLUMNS(Optimization!$F$4:$AI$33))+1, MOD(ROW()-1, COLUMNS(Optimization!$F$4:$AI$33))+1)</f>
        <v>0.46614744704586097</v>
      </c>
      <c r="C279" cm="1">
        <f t="array" ref="C279">INDEX(Optimization!$AT$4:$BW$33, INT((ROW()-1)/COLUMNS(Optimization!$AT$4:$BW$33))+1, MOD(ROW()-1, COLUMNS(Optimization!$AT$4:$BW$33))+1)</f>
        <v>0</v>
      </c>
    </row>
    <row r="280" spans="1:3" x14ac:dyDescent="0.25">
      <c r="A280">
        <v>280</v>
      </c>
      <c r="B280" cm="1">
        <f t="array" ref="B280">INDEX(Optimization!$F$4:$AI$33, INT((ROW()-1)/COLUMNS(Optimization!$F$4:$AI$33))+1, MOD(ROW()-1, COLUMNS(Optimization!$F$4:$AI$33))+1)</f>
        <v>0</v>
      </c>
      <c r="C280" cm="1">
        <f t="array" ref="C280">INDEX(Optimization!$AT$4:$BW$33, INT((ROW()-1)/COLUMNS(Optimization!$AT$4:$BW$33))+1, MOD(ROW()-1, COLUMNS(Optimization!$AT$4:$BW$33))+1)</f>
        <v>0</v>
      </c>
    </row>
    <row r="281" spans="1:3" x14ac:dyDescent="0.25">
      <c r="A281">
        <v>281</v>
      </c>
      <c r="B281" cm="1">
        <f t="array" ref="B281">INDEX(Optimization!$F$4:$AI$33, INT((ROW()-1)/COLUMNS(Optimization!$F$4:$AI$33))+1, MOD(ROW()-1, COLUMNS(Optimization!$F$4:$AI$33))+1)</f>
        <v>0.23493132107367501</v>
      </c>
      <c r="C281" cm="1">
        <f t="array" ref="C281">INDEX(Optimization!$AT$4:$BW$33, INT((ROW()-1)/COLUMNS(Optimization!$AT$4:$BW$33))+1, MOD(ROW()-1, COLUMNS(Optimization!$AT$4:$BW$33))+1)</f>
        <v>0</v>
      </c>
    </row>
    <row r="282" spans="1:3" x14ac:dyDescent="0.25">
      <c r="A282">
        <v>282</v>
      </c>
      <c r="B282" cm="1">
        <f t="array" ref="B282">INDEX(Optimization!$F$4:$AI$33, INT((ROW()-1)/COLUMNS(Optimization!$F$4:$AI$33))+1, MOD(ROW()-1, COLUMNS(Optimization!$F$4:$AI$33))+1)</f>
        <v>0.323970403960055</v>
      </c>
      <c r="C282" cm="1">
        <f t="array" ref="C282">INDEX(Optimization!$AT$4:$BW$33, INT((ROW()-1)/COLUMNS(Optimization!$AT$4:$BW$33))+1, MOD(ROW()-1, COLUMNS(Optimization!$AT$4:$BW$33))+1)</f>
        <v>0</v>
      </c>
    </row>
    <row r="283" spans="1:3" x14ac:dyDescent="0.25">
      <c r="A283">
        <v>283</v>
      </c>
      <c r="B283" cm="1">
        <f t="array" ref="B283">INDEX(Optimization!$F$4:$AI$33, INT((ROW()-1)/COLUMNS(Optimization!$F$4:$AI$33))+1, MOD(ROW()-1, COLUMNS(Optimization!$F$4:$AI$33))+1)</f>
        <v>1.01754169978609</v>
      </c>
      <c r="C283" cm="1">
        <f t="array" ref="C283">INDEX(Optimization!$AT$4:$BW$33, INT((ROW()-1)/COLUMNS(Optimization!$AT$4:$BW$33))+1, MOD(ROW()-1, COLUMNS(Optimization!$AT$4:$BW$33))+1)</f>
        <v>0</v>
      </c>
    </row>
    <row r="284" spans="1:3" x14ac:dyDescent="0.25">
      <c r="A284">
        <v>284</v>
      </c>
      <c r="B284" cm="1">
        <f t="array" ref="B284">INDEX(Optimization!$F$4:$AI$33, INT((ROW()-1)/COLUMNS(Optimization!$F$4:$AI$33))+1, MOD(ROW()-1, COLUMNS(Optimization!$F$4:$AI$33))+1)</f>
        <v>1.2666451286735299E-2</v>
      </c>
      <c r="C284" cm="1">
        <f t="array" ref="C284">INDEX(Optimization!$AT$4:$BW$33, INT((ROW()-1)/COLUMNS(Optimization!$AT$4:$BW$33))+1, MOD(ROW()-1, COLUMNS(Optimization!$AT$4:$BW$33))+1)</f>
        <v>0</v>
      </c>
    </row>
    <row r="285" spans="1:3" x14ac:dyDescent="0.25">
      <c r="A285">
        <v>285</v>
      </c>
      <c r="B285" cm="1">
        <f t="array" ref="B285">INDEX(Optimization!$F$4:$AI$33, INT((ROW()-1)/COLUMNS(Optimization!$F$4:$AI$33))+1, MOD(ROW()-1, COLUMNS(Optimization!$F$4:$AI$33))+1)</f>
        <v>0.73431284459444701</v>
      </c>
      <c r="C285" cm="1">
        <f t="array" ref="C285">INDEX(Optimization!$AT$4:$BW$33, INT((ROW()-1)/COLUMNS(Optimization!$AT$4:$BW$33))+1, MOD(ROW()-1, COLUMNS(Optimization!$AT$4:$BW$33))+1)</f>
        <v>0</v>
      </c>
    </row>
    <row r="286" spans="1:3" x14ac:dyDescent="0.25">
      <c r="A286">
        <v>286</v>
      </c>
      <c r="B286" cm="1">
        <f t="array" ref="B286">INDEX(Optimization!$F$4:$AI$33, INT((ROW()-1)/COLUMNS(Optimization!$F$4:$AI$33))+1, MOD(ROW()-1, COLUMNS(Optimization!$F$4:$AI$33))+1)</f>
        <v>1.35494662381402</v>
      </c>
      <c r="C286" cm="1">
        <f t="array" ref="C286">INDEX(Optimization!$AT$4:$BW$33, INT((ROW()-1)/COLUMNS(Optimization!$AT$4:$BW$33))+1, MOD(ROW()-1, COLUMNS(Optimization!$AT$4:$BW$33))+1)</f>
        <v>0</v>
      </c>
    </row>
    <row r="287" spans="1:3" x14ac:dyDescent="0.25">
      <c r="A287">
        <v>287</v>
      </c>
      <c r="B287" cm="1">
        <f t="array" ref="B287">INDEX(Optimization!$F$4:$AI$33, INT((ROW()-1)/COLUMNS(Optimization!$F$4:$AI$33))+1, MOD(ROW()-1, COLUMNS(Optimization!$F$4:$AI$33))+1)</f>
        <v>0.53145243169453504</v>
      </c>
      <c r="C287" cm="1">
        <f t="array" ref="C287">INDEX(Optimization!$AT$4:$BW$33, INT((ROW()-1)/COLUMNS(Optimization!$AT$4:$BW$33))+1, MOD(ROW()-1, COLUMNS(Optimization!$AT$4:$BW$33))+1)</f>
        <v>0</v>
      </c>
    </row>
    <row r="288" spans="1:3" x14ac:dyDescent="0.25">
      <c r="A288">
        <v>288</v>
      </c>
      <c r="B288" cm="1">
        <f t="array" ref="B288">INDEX(Optimization!$F$4:$AI$33, INT((ROW()-1)/COLUMNS(Optimization!$F$4:$AI$33))+1, MOD(ROW()-1, COLUMNS(Optimization!$F$4:$AI$33))+1)</f>
        <v>-0.58860462028989502</v>
      </c>
      <c r="C288" cm="1">
        <f t="array" ref="C288">INDEX(Optimization!$AT$4:$BW$33, INT((ROW()-1)/COLUMNS(Optimization!$AT$4:$BW$33))+1, MOD(ROW()-1, COLUMNS(Optimization!$AT$4:$BW$33))+1)</f>
        <v>0</v>
      </c>
    </row>
    <row r="289" spans="1:3" x14ac:dyDescent="0.25">
      <c r="A289">
        <v>289</v>
      </c>
      <c r="B289" cm="1">
        <f t="array" ref="B289">INDEX(Optimization!$F$4:$AI$33, INT((ROW()-1)/COLUMNS(Optimization!$F$4:$AI$33))+1, MOD(ROW()-1, COLUMNS(Optimization!$F$4:$AI$33))+1)</f>
        <v>-5.48008954432605E-2</v>
      </c>
      <c r="C289" cm="1">
        <f t="array" ref="C289">INDEX(Optimization!$AT$4:$BW$33, INT((ROW()-1)/COLUMNS(Optimization!$AT$4:$BW$33))+1, MOD(ROW()-1, COLUMNS(Optimization!$AT$4:$BW$33))+1)</f>
        <v>0</v>
      </c>
    </row>
    <row r="290" spans="1:3" x14ac:dyDescent="0.25">
      <c r="A290">
        <v>290</v>
      </c>
      <c r="B290" cm="1">
        <f t="array" ref="B290">INDEX(Optimization!$F$4:$AI$33, INT((ROW()-1)/COLUMNS(Optimization!$F$4:$AI$33))+1, MOD(ROW()-1, COLUMNS(Optimization!$F$4:$AI$33))+1)</f>
        <v>0.80569316291118898</v>
      </c>
      <c r="C290" cm="1">
        <f t="array" ref="C290">INDEX(Optimization!$AT$4:$BW$33, INT((ROW()-1)/COLUMNS(Optimization!$AT$4:$BW$33))+1, MOD(ROW()-1, COLUMNS(Optimization!$AT$4:$BW$33))+1)</f>
        <v>0</v>
      </c>
    </row>
    <row r="291" spans="1:3" x14ac:dyDescent="0.25">
      <c r="A291">
        <v>291</v>
      </c>
      <c r="B291" cm="1">
        <f t="array" ref="B291">INDEX(Optimization!$F$4:$AI$33, INT((ROW()-1)/COLUMNS(Optimization!$F$4:$AI$33))+1, MOD(ROW()-1, COLUMNS(Optimization!$F$4:$AI$33))+1)</f>
        <v>-8.8742525545002199E-2</v>
      </c>
      <c r="C291" cm="1">
        <f t="array" ref="C291">INDEX(Optimization!$AT$4:$BW$33, INT((ROW()-1)/COLUMNS(Optimization!$AT$4:$BW$33))+1, MOD(ROW()-1, COLUMNS(Optimization!$AT$4:$BW$33))+1)</f>
        <v>0</v>
      </c>
    </row>
    <row r="292" spans="1:3" x14ac:dyDescent="0.25">
      <c r="A292">
        <v>292</v>
      </c>
      <c r="B292" cm="1">
        <f t="array" ref="B292">INDEX(Optimization!$F$4:$AI$33, INT((ROW()-1)/COLUMNS(Optimization!$F$4:$AI$33))+1, MOD(ROW()-1, COLUMNS(Optimization!$F$4:$AI$33))+1)</f>
        <v>0.39610666753248203</v>
      </c>
      <c r="C292" cm="1">
        <f t="array" ref="C292">INDEX(Optimization!$AT$4:$BW$33, INT((ROW()-1)/COLUMNS(Optimization!$AT$4:$BW$33))+1, MOD(ROW()-1, COLUMNS(Optimization!$AT$4:$BW$33))+1)</f>
        <v>0</v>
      </c>
    </row>
    <row r="293" spans="1:3" x14ac:dyDescent="0.25">
      <c r="A293">
        <v>293</v>
      </c>
      <c r="B293" cm="1">
        <f t="array" ref="B293">INDEX(Optimization!$F$4:$AI$33, INT((ROW()-1)/COLUMNS(Optimization!$F$4:$AI$33))+1, MOD(ROW()-1, COLUMNS(Optimization!$F$4:$AI$33))+1)</f>
        <v>-0.36121427986744098</v>
      </c>
      <c r="C293" cm="1">
        <f t="array" ref="C293">INDEX(Optimization!$AT$4:$BW$33, INT((ROW()-1)/COLUMNS(Optimization!$AT$4:$BW$33))+1, MOD(ROW()-1, COLUMNS(Optimization!$AT$4:$BW$33))+1)</f>
        <v>0</v>
      </c>
    </row>
    <row r="294" spans="1:3" x14ac:dyDescent="0.25">
      <c r="A294">
        <v>294</v>
      </c>
      <c r="B294" cm="1">
        <f t="array" ref="B294">INDEX(Optimization!$F$4:$AI$33, INT((ROW()-1)/COLUMNS(Optimization!$F$4:$AI$33))+1, MOD(ROW()-1, COLUMNS(Optimization!$F$4:$AI$33))+1)</f>
        <v>-1.07554636895884</v>
      </c>
      <c r="C294" cm="1">
        <f t="array" ref="C294">INDEX(Optimization!$AT$4:$BW$33, INT((ROW()-1)/COLUMNS(Optimization!$AT$4:$BW$33))+1, MOD(ROW()-1, COLUMNS(Optimization!$AT$4:$BW$33))+1)</f>
        <v>0</v>
      </c>
    </row>
    <row r="295" spans="1:3" x14ac:dyDescent="0.25">
      <c r="A295">
        <v>295</v>
      </c>
      <c r="B295" cm="1">
        <f t="array" ref="B295">INDEX(Optimization!$F$4:$AI$33, INT((ROW()-1)/COLUMNS(Optimization!$F$4:$AI$33))+1, MOD(ROW()-1, COLUMNS(Optimization!$F$4:$AI$33))+1)</f>
        <v>0.21853869527608699</v>
      </c>
      <c r="C295" cm="1">
        <f t="array" ref="C295">INDEX(Optimization!$AT$4:$BW$33, INT((ROW()-1)/COLUMNS(Optimization!$AT$4:$BW$33))+1, MOD(ROW()-1, COLUMNS(Optimization!$AT$4:$BW$33))+1)</f>
        <v>0</v>
      </c>
    </row>
    <row r="296" spans="1:3" x14ac:dyDescent="0.25">
      <c r="A296">
        <v>296</v>
      </c>
      <c r="B296" cm="1">
        <f t="array" ref="B296">INDEX(Optimization!$F$4:$AI$33, INT((ROW()-1)/COLUMNS(Optimization!$F$4:$AI$33))+1, MOD(ROW()-1, COLUMNS(Optimization!$F$4:$AI$33))+1)</f>
        <v>0.26489408084771299</v>
      </c>
      <c r="C296" cm="1">
        <f t="array" ref="C296">INDEX(Optimization!$AT$4:$BW$33, INT((ROW()-1)/COLUMNS(Optimization!$AT$4:$BW$33))+1, MOD(ROW()-1, COLUMNS(Optimization!$AT$4:$BW$33))+1)</f>
        <v>0</v>
      </c>
    </row>
    <row r="297" spans="1:3" x14ac:dyDescent="0.25">
      <c r="A297">
        <v>297</v>
      </c>
      <c r="B297" cm="1">
        <f t="array" ref="B297">INDEX(Optimization!$F$4:$AI$33, INT((ROW()-1)/COLUMNS(Optimization!$F$4:$AI$33))+1, MOD(ROW()-1, COLUMNS(Optimization!$F$4:$AI$33))+1)</f>
        <v>0.63323587997992004</v>
      </c>
      <c r="C297" cm="1">
        <f t="array" ref="C297">INDEX(Optimization!$AT$4:$BW$33, INT((ROW()-1)/COLUMNS(Optimization!$AT$4:$BW$33))+1, MOD(ROW()-1, COLUMNS(Optimization!$AT$4:$BW$33))+1)</f>
        <v>0</v>
      </c>
    </row>
    <row r="298" spans="1:3" x14ac:dyDescent="0.25">
      <c r="A298">
        <v>298</v>
      </c>
      <c r="B298" cm="1">
        <f t="array" ref="B298">INDEX(Optimization!$F$4:$AI$33, INT((ROW()-1)/COLUMNS(Optimization!$F$4:$AI$33))+1, MOD(ROW()-1, COLUMNS(Optimization!$F$4:$AI$33))+1)</f>
        <v>0.80673693545215197</v>
      </c>
      <c r="C298" cm="1">
        <f t="array" ref="C298">INDEX(Optimization!$AT$4:$BW$33, INT((ROW()-1)/COLUMNS(Optimization!$AT$4:$BW$33))+1, MOD(ROW()-1, COLUMNS(Optimization!$AT$4:$BW$33))+1)</f>
        <v>0</v>
      </c>
    </row>
    <row r="299" spans="1:3" x14ac:dyDescent="0.25">
      <c r="A299">
        <v>299</v>
      </c>
      <c r="B299" cm="1">
        <f t="array" ref="B299">INDEX(Optimization!$F$4:$AI$33, INT((ROW()-1)/COLUMNS(Optimization!$F$4:$AI$33))+1, MOD(ROW()-1, COLUMNS(Optimization!$F$4:$AI$33))+1)</f>
        <v>1.0146829814095399</v>
      </c>
      <c r="C299" cm="1">
        <f t="array" ref="C299">INDEX(Optimization!$AT$4:$BW$33, INT((ROW()-1)/COLUMNS(Optimization!$AT$4:$BW$33))+1, MOD(ROW()-1, COLUMNS(Optimization!$AT$4:$BW$33))+1)</f>
        <v>0</v>
      </c>
    </row>
    <row r="300" spans="1:3" x14ac:dyDescent="0.25">
      <c r="A300">
        <v>300</v>
      </c>
      <c r="B300" cm="1">
        <f t="array" ref="B300">INDEX(Optimization!$F$4:$AI$33, INT((ROW()-1)/COLUMNS(Optimization!$F$4:$AI$33))+1, MOD(ROW()-1, COLUMNS(Optimization!$F$4:$AI$33))+1)</f>
        <v>0.29503829965059303</v>
      </c>
      <c r="C300" cm="1">
        <f t="array" ref="C300">INDEX(Optimization!$AT$4:$BW$33, INT((ROW()-1)/COLUMNS(Optimization!$AT$4:$BW$33))+1, MOD(ROW()-1, COLUMNS(Optimization!$AT$4:$BW$33))+1)</f>
        <v>0</v>
      </c>
    </row>
    <row r="301" spans="1:3" x14ac:dyDescent="0.25">
      <c r="A301">
        <v>301</v>
      </c>
      <c r="B301" cm="1">
        <f t="array" ref="B301">INDEX(Optimization!$F$4:$AI$33, INT((ROW()-1)/COLUMNS(Optimization!$F$4:$AI$33))+1, MOD(ROW()-1, COLUMNS(Optimization!$F$4:$AI$33))+1)</f>
        <v>-8.3762498111901798E-3</v>
      </c>
      <c r="C301" cm="1">
        <f t="array" ref="C301">INDEX(Optimization!$AT$4:$BW$33, INT((ROW()-1)/COLUMNS(Optimization!$AT$4:$BW$33))+1, MOD(ROW()-1, COLUMNS(Optimization!$AT$4:$BW$33))+1)</f>
        <v>0</v>
      </c>
    </row>
    <row r="302" spans="1:3" x14ac:dyDescent="0.25">
      <c r="A302">
        <v>302</v>
      </c>
      <c r="B302" cm="1">
        <f t="array" ref="B302">INDEX(Optimization!$F$4:$AI$33, INT((ROW()-1)/COLUMNS(Optimization!$F$4:$AI$33))+1, MOD(ROW()-1, COLUMNS(Optimization!$F$4:$AI$33))+1)</f>
        <v>0.55826105369667101</v>
      </c>
      <c r="C302" cm="1">
        <f t="array" ref="C302">INDEX(Optimization!$AT$4:$BW$33, INT((ROW()-1)/COLUMNS(Optimization!$AT$4:$BW$33))+1, MOD(ROW()-1, COLUMNS(Optimization!$AT$4:$BW$33))+1)</f>
        <v>0</v>
      </c>
    </row>
    <row r="303" spans="1:3" x14ac:dyDescent="0.25">
      <c r="A303">
        <v>303</v>
      </c>
      <c r="B303" cm="1">
        <f t="array" ref="B303">INDEX(Optimization!$F$4:$AI$33, INT((ROW()-1)/COLUMNS(Optimization!$F$4:$AI$33))+1, MOD(ROW()-1, COLUMNS(Optimization!$F$4:$AI$33))+1)</f>
        <v>-0.99248249543529199</v>
      </c>
      <c r="C303" cm="1">
        <f t="array" ref="C303">INDEX(Optimization!$AT$4:$BW$33, INT((ROW()-1)/COLUMNS(Optimization!$AT$4:$BW$33))+1, MOD(ROW()-1, COLUMNS(Optimization!$AT$4:$BW$33))+1)</f>
        <v>0</v>
      </c>
    </row>
    <row r="304" spans="1:3" x14ac:dyDescent="0.25">
      <c r="A304">
        <v>304</v>
      </c>
      <c r="B304" cm="1">
        <f t="array" ref="B304">INDEX(Optimization!$F$4:$AI$33, INT((ROW()-1)/COLUMNS(Optimization!$F$4:$AI$33))+1, MOD(ROW()-1, COLUMNS(Optimization!$F$4:$AI$33))+1)</f>
        <v>1.0904336470289999</v>
      </c>
      <c r="C304" cm="1">
        <f t="array" ref="C304">INDEX(Optimization!$AT$4:$BW$33, INT((ROW()-1)/COLUMNS(Optimization!$AT$4:$BW$33))+1, MOD(ROW()-1, COLUMNS(Optimization!$AT$4:$BW$33))+1)</f>
        <v>0</v>
      </c>
    </row>
    <row r="305" spans="1:3" x14ac:dyDescent="0.25">
      <c r="A305">
        <v>305</v>
      </c>
      <c r="B305" cm="1">
        <f t="array" ref="B305">INDEX(Optimization!$F$4:$AI$33, INT((ROW()-1)/COLUMNS(Optimization!$F$4:$AI$33))+1, MOD(ROW()-1, COLUMNS(Optimization!$F$4:$AI$33))+1)</f>
        <v>-1.25504862213548</v>
      </c>
      <c r="C305" cm="1">
        <f t="array" ref="C305">INDEX(Optimization!$AT$4:$BW$33, INT((ROW()-1)/COLUMNS(Optimization!$AT$4:$BW$33))+1, MOD(ROW()-1, COLUMNS(Optimization!$AT$4:$BW$33))+1)</f>
        <v>0</v>
      </c>
    </row>
    <row r="306" spans="1:3" x14ac:dyDescent="0.25">
      <c r="A306">
        <v>306</v>
      </c>
      <c r="B306" cm="1">
        <f t="array" ref="B306">INDEX(Optimization!$F$4:$AI$33, INT((ROW()-1)/COLUMNS(Optimization!$F$4:$AI$33))+1, MOD(ROW()-1, COLUMNS(Optimization!$F$4:$AI$33))+1)</f>
        <v>0.145421132931463</v>
      </c>
      <c r="C306" cm="1">
        <f t="array" ref="C306">INDEX(Optimization!$AT$4:$BW$33, INT((ROW()-1)/COLUMNS(Optimization!$AT$4:$BW$33))+1, MOD(ROW()-1, COLUMNS(Optimization!$AT$4:$BW$33))+1)</f>
        <v>0</v>
      </c>
    </row>
    <row r="307" spans="1:3" x14ac:dyDescent="0.25">
      <c r="A307">
        <v>307</v>
      </c>
      <c r="B307" cm="1">
        <f t="array" ref="B307">INDEX(Optimization!$F$4:$AI$33, INT((ROW()-1)/COLUMNS(Optimization!$F$4:$AI$33))+1, MOD(ROW()-1, COLUMNS(Optimization!$F$4:$AI$33))+1)</f>
        <v>-0.24480737429280999</v>
      </c>
      <c r="C307" cm="1">
        <f t="array" ref="C307">INDEX(Optimization!$AT$4:$BW$33, INT((ROW()-1)/COLUMNS(Optimization!$AT$4:$BW$33))+1, MOD(ROW()-1, COLUMNS(Optimization!$AT$4:$BW$33))+1)</f>
        <v>0</v>
      </c>
    </row>
    <row r="308" spans="1:3" x14ac:dyDescent="0.25">
      <c r="A308">
        <v>308</v>
      </c>
      <c r="B308" cm="1">
        <f t="array" ref="B308">INDEX(Optimization!$F$4:$AI$33, INT((ROW()-1)/COLUMNS(Optimization!$F$4:$AI$33))+1, MOD(ROW()-1, COLUMNS(Optimization!$F$4:$AI$33))+1)</f>
        <v>-0.819524628358967</v>
      </c>
      <c r="C308" cm="1">
        <f t="array" ref="C308">INDEX(Optimization!$AT$4:$BW$33, INT((ROW()-1)/COLUMNS(Optimization!$AT$4:$BW$33))+1, MOD(ROW()-1, COLUMNS(Optimization!$AT$4:$BW$33))+1)</f>
        <v>0</v>
      </c>
    </row>
    <row r="309" spans="1:3" x14ac:dyDescent="0.25">
      <c r="A309">
        <v>309</v>
      </c>
      <c r="B309" cm="1">
        <f t="array" ref="B309">INDEX(Optimization!$F$4:$AI$33, INT((ROW()-1)/COLUMNS(Optimization!$F$4:$AI$33))+1, MOD(ROW()-1, COLUMNS(Optimization!$F$4:$AI$33))+1)</f>
        <v>0.237465079459932</v>
      </c>
      <c r="C309" cm="1">
        <f t="array" ref="C309">INDEX(Optimization!$AT$4:$BW$33, INT((ROW()-1)/COLUMNS(Optimization!$AT$4:$BW$33))+1, MOD(ROW()-1, COLUMNS(Optimization!$AT$4:$BW$33))+1)</f>
        <v>0</v>
      </c>
    </row>
    <row r="310" spans="1:3" x14ac:dyDescent="0.25">
      <c r="A310">
        <v>310</v>
      </c>
      <c r="B310" cm="1">
        <f t="array" ref="B310">INDEX(Optimization!$F$4:$AI$33, INT((ROW()-1)/COLUMNS(Optimization!$F$4:$AI$33))+1, MOD(ROW()-1, COLUMNS(Optimization!$F$4:$AI$33))+1)</f>
        <v>0.23493132107367501</v>
      </c>
      <c r="C310" cm="1">
        <f t="array" ref="C310">INDEX(Optimization!$AT$4:$BW$33, INT((ROW()-1)/COLUMNS(Optimization!$AT$4:$BW$33))+1, MOD(ROW()-1, COLUMNS(Optimization!$AT$4:$BW$33))+1)</f>
        <v>0</v>
      </c>
    </row>
    <row r="311" spans="1:3" x14ac:dyDescent="0.25">
      <c r="A311">
        <v>311</v>
      </c>
      <c r="B311" cm="1">
        <f t="array" ref="B311">INDEX(Optimization!$F$4:$AI$33, INT((ROW()-1)/COLUMNS(Optimization!$F$4:$AI$33))+1, MOD(ROW()-1, COLUMNS(Optimization!$F$4:$AI$33))+1)</f>
        <v>0</v>
      </c>
      <c r="C311" cm="1">
        <f t="array" ref="C311">INDEX(Optimization!$AT$4:$BW$33, INT((ROW()-1)/COLUMNS(Optimization!$AT$4:$BW$33))+1, MOD(ROW()-1, COLUMNS(Optimization!$AT$4:$BW$33))+1)</f>
        <v>0</v>
      </c>
    </row>
    <row r="312" spans="1:3" x14ac:dyDescent="0.25">
      <c r="A312">
        <v>312</v>
      </c>
      <c r="B312" cm="1">
        <f t="array" ref="B312">INDEX(Optimization!$F$4:$AI$33, INT((ROW()-1)/COLUMNS(Optimization!$F$4:$AI$33))+1, MOD(ROW()-1, COLUMNS(Optimization!$F$4:$AI$33))+1)</f>
        <v>0.48364971768857101</v>
      </c>
      <c r="C312" cm="1">
        <f t="array" ref="C312">INDEX(Optimization!$AT$4:$BW$33, INT((ROW()-1)/COLUMNS(Optimization!$AT$4:$BW$33))+1, MOD(ROW()-1, COLUMNS(Optimization!$AT$4:$BW$33))+1)</f>
        <v>0</v>
      </c>
    </row>
    <row r="313" spans="1:3" x14ac:dyDescent="0.25">
      <c r="A313">
        <v>313</v>
      </c>
      <c r="B313" cm="1">
        <f t="array" ref="B313">INDEX(Optimization!$F$4:$AI$33, INT((ROW()-1)/COLUMNS(Optimization!$F$4:$AI$33))+1, MOD(ROW()-1, COLUMNS(Optimization!$F$4:$AI$33))+1)</f>
        <v>-0.36140205522229402</v>
      </c>
      <c r="C313" cm="1">
        <f t="array" ref="C313">INDEX(Optimization!$AT$4:$BW$33, INT((ROW()-1)/COLUMNS(Optimization!$AT$4:$BW$33))+1, MOD(ROW()-1, COLUMNS(Optimization!$AT$4:$BW$33))+1)</f>
        <v>0</v>
      </c>
    </row>
    <row r="314" spans="1:3" x14ac:dyDescent="0.25">
      <c r="A314">
        <v>314</v>
      </c>
      <c r="B314" cm="1">
        <f t="array" ref="B314">INDEX(Optimization!$F$4:$AI$33, INT((ROW()-1)/COLUMNS(Optimization!$F$4:$AI$33))+1, MOD(ROW()-1, COLUMNS(Optimization!$F$4:$AI$33))+1)</f>
        <v>7.0959183281156801E-2</v>
      </c>
      <c r="C314" cm="1">
        <f t="array" ref="C314">INDEX(Optimization!$AT$4:$BW$33, INT((ROW()-1)/COLUMNS(Optimization!$AT$4:$BW$33))+1, MOD(ROW()-1, COLUMNS(Optimization!$AT$4:$BW$33))+1)</f>
        <v>0</v>
      </c>
    </row>
    <row r="315" spans="1:3" x14ac:dyDescent="0.25">
      <c r="A315">
        <v>315</v>
      </c>
      <c r="B315" cm="1">
        <f t="array" ref="B315">INDEX(Optimization!$F$4:$AI$33, INT((ROW()-1)/COLUMNS(Optimization!$F$4:$AI$33))+1, MOD(ROW()-1, COLUMNS(Optimization!$F$4:$AI$33))+1)</f>
        <v>-0.35866244479120901</v>
      </c>
      <c r="C315" cm="1">
        <f t="array" ref="C315">INDEX(Optimization!$AT$4:$BW$33, INT((ROW()-1)/COLUMNS(Optimization!$AT$4:$BW$33))+1, MOD(ROW()-1, COLUMNS(Optimization!$AT$4:$BW$33))+1)</f>
        <v>0</v>
      </c>
    </row>
    <row r="316" spans="1:3" x14ac:dyDescent="0.25">
      <c r="A316">
        <v>316</v>
      </c>
      <c r="B316" cm="1">
        <f t="array" ref="B316">INDEX(Optimization!$F$4:$AI$33, INT((ROW()-1)/COLUMNS(Optimization!$F$4:$AI$33))+1, MOD(ROW()-1, COLUMNS(Optimization!$F$4:$AI$33))+1)</f>
        <v>-1.7364333381667201</v>
      </c>
      <c r="C316" cm="1">
        <f t="array" ref="C316">INDEX(Optimization!$AT$4:$BW$33, INT((ROW()-1)/COLUMNS(Optimization!$AT$4:$BW$33))+1, MOD(ROW()-1, COLUMNS(Optimization!$AT$4:$BW$33))+1)</f>
        <v>0</v>
      </c>
    </row>
    <row r="317" spans="1:3" x14ac:dyDescent="0.25">
      <c r="A317">
        <v>317</v>
      </c>
      <c r="B317" cm="1">
        <f t="array" ref="B317">INDEX(Optimization!$F$4:$AI$33, INT((ROW()-1)/COLUMNS(Optimization!$F$4:$AI$33))+1, MOD(ROW()-1, COLUMNS(Optimization!$F$4:$AI$33))+1)</f>
        <v>-0.61075239316252805</v>
      </c>
      <c r="C317" cm="1">
        <f t="array" ref="C317">INDEX(Optimization!$AT$4:$BW$33, INT((ROW()-1)/COLUMNS(Optimization!$AT$4:$BW$33))+1, MOD(ROW()-1, COLUMNS(Optimization!$AT$4:$BW$33))+1)</f>
        <v>0</v>
      </c>
    </row>
    <row r="318" spans="1:3" x14ac:dyDescent="0.25">
      <c r="A318">
        <v>318</v>
      </c>
      <c r="B318" cm="1">
        <f t="array" ref="B318">INDEX(Optimization!$F$4:$AI$33, INT((ROW()-1)/COLUMNS(Optimization!$F$4:$AI$33))+1, MOD(ROW()-1, COLUMNS(Optimization!$F$4:$AI$33))+1)</f>
        <v>-0.68624346210708898</v>
      </c>
      <c r="C318" cm="1">
        <f t="array" ref="C318">INDEX(Optimization!$AT$4:$BW$33, INT((ROW()-1)/COLUMNS(Optimization!$AT$4:$BW$33))+1, MOD(ROW()-1, COLUMNS(Optimization!$AT$4:$BW$33))+1)</f>
        <v>0</v>
      </c>
    </row>
    <row r="319" spans="1:3" x14ac:dyDescent="0.25">
      <c r="A319">
        <v>319</v>
      </c>
      <c r="B319" cm="1">
        <f t="array" ref="B319">INDEX(Optimization!$F$4:$AI$33, INT((ROW()-1)/COLUMNS(Optimization!$F$4:$AI$33))+1, MOD(ROW()-1, COLUMNS(Optimization!$F$4:$AI$33))+1)</f>
        <v>3.6094076136446997E-4</v>
      </c>
      <c r="C319" cm="1">
        <f t="array" ref="C319">INDEX(Optimization!$AT$4:$BW$33, INT((ROW()-1)/COLUMNS(Optimization!$AT$4:$BW$33))+1, MOD(ROW()-1, COLUMNS(Optimization!$AT$4:$BW$33))+1)</f>
        <v>0</v>
      </c>
    </row>
    <row r="320" spans="1:3" x14ac:dyDescent="0.25">
      <c r="A320">
        <v>320</v>
      </c>
      <c r="B320" cm="1">
        <f t="array" ref="B320">INDEX(Optimization!$F$4:$AI$33, INT((ROW()-1)/COLUMNS(Optimization!$F$4:$AI$33))+1, MOD(ROW()-1, COLUMNS(Optimization!$F$4:$AI$33))+1)</f>
        <v>-0.29112360880141303</v>
      </c>
      <c r="C320" cm="1">
        <f t="array" ref="C320">INDEX(Optimization!$AT$4:$BW$33, INT((ROW()-1)/COLUMNS(Optimization!$AT$4:$BW$33))+1, MOD(ROW()-1, COLUMNS(Optimization!$AT$4:$BW$33))+1)</f>
        <v>0</v>
      </c>
    </row>
    <row r="321" spans="1:3" x14ac:dyDescent="0.25">
      <c r="A321">
        <v>321</v>
      </c>
      <c r="B321" cm="1">
        <f t="array" ref="B321">INDEX(Optimization!$F$4:$AI$33, INT((ROW()-1)/COLUMNS(Optimization!$F$4:$AI$33))+1, MOD(ROW()-1, COLUMNS(Optimization!$F$4:$AI$33))+1)</f>
        <v>-0.67262038522089296</v>
      </c>
      <c r="C321" cm="1">
        <f t="array" ref="C321">INDEX(Optimization!$AT$4:$BW$33, INT((ROW()-1)/COLUMNS(Optimization!$AT$4:$BW$33))+1, MOD(ROW()-1, COLUMNS(Optimization!$AT$4:$BW$33))+1)</f>
        <v>0</v>
      </c>
    </row>
    <row r="322" spans="1:3" x14ac:dyDescent="0.25">
      <c r="A322">
        <v>322</v>
      </c>
      <c r="B322" cm="1">
        <f t="array" ref="B322">INDEX(Optimization!$F$4:$AI$33, INT((ROW()-1)/COLUMNS(Optimization!$F$4:$AI$33))+1, MOD(ROW()-1, COLUMNS(Optimization!$F$4:$AI$33))+1)</f>
        <v>-0.21852333910169</v>
      </c>
      <c r="C322" cm="1">
        <f t="array" ref="C322">INDEX(Optimization!$AT$4:$BW$33, INT((ROW()-1)/COLUMNS(Optimization!$AT$4:$BW$33))+1, MOD(ROW()-1, COLUMNS(Optimization!$AT$4:$BW$33))+1)</f>
        <v>0</v>
      </c>
    </row>
    <row r="323" spans="1:3" x14ac:dyDescent="0.25">
      <c r="A323">
        <v>323</v>
      </c>
      <c r="B323" cm="1">
        <f t="array" ref="B323">INDEX(Optimization!$F$4:$AI$33, INT((ROW()-1)/COLUMNS(Optimization!$F$4:$AI$33))+1, MOD(ROW()-1, COLUMNS(Optimization!$F$4:$AI$33))+1)</f>
        <v>0.31537289734470197</v>
      </c>
      <c r="C323" cm="1">
        <f t="array" ref="C323">INDEX(Optimization!$AT$4:$BW$33, INT((ROW()-1)/COLUMNS(Optimization!$AT$4:$BW$33))+1, MOD(ROW()-1, COLUMNS(Optimization!$AT$4:$BW$33))+1)</f>
        <v>0</v>
      </c>
    </row>
    <row r="324" spans="1:3" x14ac:dyDescent="0.25">
      <c r="A324">
        <v>324</v>
      </c>
      <c r="B324" cm="1">
        <f t="array" ref="B324">INDEX(Optimization!$F$4:$AI$33, INT((ROW()-1)/COLUMNS(Optimization!$F$4:$AI$33))+1, MOD(ROW()-1, COLUMNS(Optimization!$F$4:$AI$33))+1)</f>
        <v>-1.33773665603104E-2</v>
      </c>
      <c r="C324" cm="1">
        <f t="array" ref="C324">INDEX(Optimization!$AT$4:$BW$33, INT((ROW()-1)/COLUMNS(Optimization!$AT$4:$BW$33))+1, MOD(ROW()-1, COLUMNS(Optimization!$AT$4:$BW$33))+1)</f>
        <v>0</v>
      </c>
    </row>
    <row r="325" spans="1:3" x14ac:dyDescent="0.25">
      <c r="A325">
        <v>325</v>
      </c>
      <c r="B325" cm="1">
        <f t="array" ref="B325">INDEX(Optimization!$F$4:$AI$33, INT((ROW()-1)/COLUMNS(Optimization!$F$4:$AI$33))+1, MOD(ROW()-1, COLUMNS(Optimization!$F$4:$AI$33))+1)</f>
        <v>1.73352545860914</v>
      </c>
      <c r="C325" cm="1">
        <f t="array" ref="C325">INDEX(Optimization!$AT$4:$BW$33, INT((ROW()-1)/COLUMNS(Optimization!$AT$4:$BW$33))+1, MOD(ROW()-1, COLUMNS(Optimization!$AT$4:$BW$33))+1)</f>
        <v>0</v>
      </c>
    </row>
    <row r="326" spans="1:3" x14ac:dyDescent="0.25">
      <c r="A326">
        <v>326</v>
      </c>
      <c r="B326" cm="1">
        <f t="array" ref="B326">INDEX(Optimization!$F$4:$AI$33, INT((ROW()-1)/COLUMNS(Optimization!$F$4:$AI$33))+1, MOD(ROW()-1, COLUMNS(Optimization!$F$4:$AI$33))+1)</f>
        <v>1.8760972464160099</v>
      </c>
      <c r="C326" cm="1">
        <f t="array" ref="C326">INDEX(Optimization!$AT$4:$BW$33, INT((ROW()-1)/COLUMNS(Optimization!$AT$4:$BW$33))+1, MOD(ROW()-1, COLUMNS(Optimization!$AT$4:$BW$33))+1)</f>
        <v>0</v>
      </c>
    </row>
    <row r="327" spans="1:3" x14ac:dyDescent="0.25">
      <c r="A327">
        <v>327</v>
      </c>
      <c r="B327" cm="1">
        <f t="array" ref="B327">INDEX(Optimization!$F$4:$AI$33, INT((ROW()-1)/COLUMNS(Optimization!$F$4:$AI$33))+1, MOD(ROW()-1, COLUMNS(Optimization!$F$4:$AI$33))+1)</f>
        <v>1.6156371964724101</v>
      </c>
      <c r="C327" cm="1">
        <f t="array" ref="C327">INDEX(Optimization!$AT$4:$BW$33, INT((ROW()-1)/COLUMNS(Optimization!$AT$4:$BW$33))+1, MOD(ROW()-1, COLUMNS(Optimization!$AT$4:$BW$33))+1)</f>
        <v>0</v>
      </c>
    </row>
    <row r="328" spans="1:3" x14ac:dyDescent="0.25">
      <c r="A328">
        <v>328</v>
      </c>
      <c r="B328" cm="1">
        <f t="array" ref="B328">INDEX(Optimization!$F$4:$AI$33, INT((ROW()-1)/COLUMNS(Optimization!$F$4:$AI$33))+1, MOD(ROW()-1, COLUMNS(Optimization!$F$4:$AI$33))+1)</f>
        <v>0.316558278001284</v>
      </c>
      <c r="C328" cm="1">
        <f t="array" ref="C328">INDEX(Optimization!$AT$4:$BW$33, INT((ROW()-1)/COLUMNS(Optimization!$AT$4:$BW$33))+1, MOD(ROW()-1, COLUMNS(Optimization!$AT$4:$BW$33))+1)</f>
        <v>0</v>
      </c>
    </row>
    <row r="329" spans="1:3" x14ac:dyDescent="0.25">
      <c r="A329">
        <v>329</v>
      </c>
      <c r="B329" cm="1">
        <f t="array" ref="B329">INDEX(Optimization!$F$4:$AI$33, INT((ROW()-1)/COLUMNS(Optimization!$F$4:$AI$33))+1, MOD(ROW()-1, COLUMNS(Optimization!$F$4:$AI$33))+1)</f>
        <v>0.87214633088606897</v>
      </c>
      <c r="C329" cm="1">
        <f t="array" ref="C329">INDEX(Optimization!$AT$4:$BW$33, INT((ROW()-1)/COLUMNS(Optimization!$AT$4:$BW$33))+1, MOD(ROW()-1, COLUMNS(Optimization!$AT$4:$BW$33))+1)</f>
        <v>0</v>
      </c>
    </row>
    <row r="330" spans="1:3" x14ac:dyDescent="0.25">
      <c r="A330">
        <v>330</v>
      </c>
      <c r="B330" cm="1">
        <f t="array" ref="B330">INDEX(Optimization!$F$4:$AI$33, INT((ROW()-1)/COLUMNS(Optimization!$F$4:$AI$33))+1, MOD(ROW()-1, COLUMNS(Optimization!$F$4:$AI$33))+1)</f>
        <v>0.71645601441023699</v>
      </c>
      <c r="C330" cm="1">
        <f t="array" ref="C330">INDEX(Optimization!$AT$4:$BW$33, INT((ROW()-1)/COLUMNS(Optimization!$AT$4:$BW$33))+1, MOD(ROW()-1, COLUMNS(Optimization!$AT$4:$BW$33))+1)</f>
        <v>0</v>
      </c>
    </row>
    <row r="331" spans="1:3" x14ac:dyDescent="0.25">
      <c r="A331">
        <v>331</v>
      </c>
      <c r="B331" cm="1">
        <f t="array" ref="B331">INDEX(Optimization!$F$4:$AI$33, INT((ROW()-1)/COLUMNS(Optimization!$F$4:$AI$33))+1, MOD(ROW()-1, COLUMNS(Optimization!$F$4:$AI$33))+1)</f>
        <v>-1.59175273253584</v>
      </c>
      <c r="C331" cm="1">
        <f t="array" ref="C331">INDEX(Optimization!$AT$4:$BW$33, INT((ROW()-1)/COLUMNS(Optimization!$AT$4:$BW$33))+1, MOD(ROW()-1, COLUMNS(Optimization!$AT$4:$BW$33))+1)</f>
        <v>0</v>
      </c>
    </row>
    <row r="332" spans="1:3" x14ac:dyDescent="0.25">
      <c r="A332">
        <v>332</v>
      </c>
      <c r="B332" cm="1">
        <f t="array" ref="B332">INDEX(Optimization!$F$4:$AI$33, INT((ROW()-1)/COLUMNS(Optimization!$F$4:$AI$33))+1, MOD(ROW()-1, COLUMNS(Optimization!$F$4:$AI$33))+1)</f>
        <v>0.25207588096982297</v>
      </c>
      <c r="C332" cm="1">
        <f t="array" ref="C332">INDEX(Optimization!$AT$4:$BW$33, INT((ROW()-1)/COLUMNS(Optimization!$AT$4:$BW$33))+1, MOD(ROW()-1, COLUMNS(Optimization!$AT$4:$BW$33))+1)</f>
        <v>0</v>
      </c>
    </row>
    <row r="333" spans="1:3" x14ac:dyDescent="0.25">
      <c r="A333">
        <v>333</v>
      </c>
      <c r="B333" cm="1">
        <f t="array" ref="B333">INDEX(Optimization!$F$4:$AI$33, INT((ROW()-1)/COLUMNS(Optimization!$F$4:$AI$33))+1, MOD(ROW()-1, COLUMNS(Optimization!$F$4:$AI$33))+1)</f>
        <v>-0.60121156298853395</v>
      </c>
      <c r="C333" cm="1">
        <f t="array" ref="C333">INDEX(Optimization!$AT$4:$BW$33, INT((ROW()-1)/COLUMNS(Optimization!$AT$4:$BW$33))+1, MOD(ROW()-1, COLUMNS(Optimization!$AT$4:$BW$33))+1)</f>
        <v>0</v>
      </c>
    </row>
    <row r="334" spans="1:3" x14ac:dyDescent="0.25">
      <c r="A334">
        <v>334</v>
      </c>
      <c r="B334" cm="1">
        <f t="array" ref="B334">INDEX(Optimization!$F$4:$AI$33, INT((ROW()-1)/COLUMNS(Optimization!$F$4:$AI$33))+1, MOD(ROW()-1, COLUMNS(Optimization!$F$4:$AI$33))+1)</f>
        <v>-0.211814570997991</v>
      </c>
      <c r="C334" cm="1">
        <f t="array" ref="C334">INDEX(Optimization!$AT$4:$BW$33, INT((ROW()-1)/COLUMNS(Optimization!$AT$4:$BW$33))+1, MOD(ROW()-1, COLUMNS(Optimization!$AT$4:$BW$33))+1)</f>
        <v>0</v>
      </c>
    </row>
    <row r="335" spans="1:3" x14ac:dyDescent="0.25">
      <c r="A335">
        <v>335</v>
      </c>
      <c r="B335" cm="1">
        <f t="array" ref="B335">INDEX(Optimization!$F$4:$AI$33, INT((ROW()-1)/COLUMNS(Optimization!$F$4:$AI$33))+1, MOD(ROW()-1, COLUMNS(Optimization!$F$4:$AI$33))+1)</f>
        <v>-0.44848148123819398</v>
      </c>
      <c r="C335" cm="1">
        <f t="array" ref="C335">INDEX(Optimization!$AT$4:$BW$33, INT((ROW()-1)/COLUMNS(Optimization!$AT$4:$BW$33))+1, MOD(ROW()-1, COLUMNS(Optimization!$AT$4:$BW$33))+1)</f>
        <v>0</v>
      </c>
    </row>
    <row r="336" spans="1:3" x14ac:dyDescent="0.25">
      <c r="A336">
        <v>336</v>
      </c>
      <c r="B336" cm="1">
        <f t="array" ref="B336">INDEX(Optimization!$F$4:$AI$33, INT((ROW()-1)/COLUMNS(Optimization!$F$4:$AI$33))+1, MOD(ROW()-1, COLUMNS(Optimization!$F$4:$AI$33))+1)</f>
        <v>1.1486789592064599</v>
      </c>
      <c r="C336" cm="1">
        <f t="array" ref="C336">INDEX(Optimization!$AT$4:$BW$33, INT((ROW()-1)/COLUMNS(Optimization!$AT$4:$BW$33))+1, MOD(ROW()-1, COLUMNS(Optimization!$AT$4:$BW$33))+1)</f>
        <v>0</v>
      </c>
    </row>
    <row r="337" spans="1:3" x14ac:dyDescent="0.25">
      <c r="A337">
        <v>337</v>
      </c>
      <c r="B337" cm="1">
        <f t="array" ref="B337">INDEX(Optimization!$F$4:$AI$33, INT((ROW()-1)/COLUMNS(Optimization!$F$4:$AI$33))+1, MOD(ROW()-1, COLUMNS(Optimization!$F$4:$AI$33))+1)</f>
        <v>0.87756910634125296</v>
      </c>
      <c r="C337" cm="1">
        <f t="array" ref="C337">INDEX(Optimization!$AT$4:$BW$33, INT((ROW()-1)/COLUMNS(Optimization!$AT$4:$BW$33))+1, MOD(ROW()-1, COLUMNS(Optimization!$AT$4:$BW$33))+1)</f>
        <v>0</v>
      </c>
    </row>
    <row r="338" spans="1:3" x14ac:dyDescent="0.25">
      <c r="A338">
        <v>338</v>
      </c>
      <c r="B338" cm="1">
        <f t="array" ref="B338">INDEX(Optimization!$F$4:$AI$33, INT((ROW()-1)/COLUMNS(Optimization!$F$4:$AI$33))+1, MOD(ROW()-1, COLUMNS(Optimization!$F$4:$AI$33))+1)</f>
        <v>0.39264263703815899</v>
      </c>
      <c r="C338" cm="1">
        <f t="array" ref="C338">INDEX(Optimization!$AT$4:$BW$33, INT((ROW()-1)/COLUMNS(Optimization!$AT$4:$BW$33))+1, MOD(ROW()-1, COLUMNS(Optimization!$AT$4:$BW$33))+1)</f>
        <v>0</v>
      </c>
    </row>
    <row r="339" spans="1:3" x14ac:dyDescent="0.25">
      <c r="A339">
        <v>339</v>
      </c>
      <c r="B339" cm="1">
        <f t="array" ref="B339">INDEX(Optimization!$F$4:$AI$33, INT((ROW()-1)/COLUMNS(Optimization!$F$4:$AI$33))+1, MOD(ROW()-1, COLUMNS(Optimization!$F$4:$AI$33))+1)</f>
        <v>0.497391365936733</v>
      </c>
      <c r="C339" cm="1">
        <f t="array" ref="C339">INDEX(Optimization!$AT$4:$BW$33, INT((ROW()-1)/COLUMNS(Optimization!$AT$4:$BW$33))+1, MOD(ROW()-1, COLUMNS(Optimization!$AT$4:$BW$33))+1)</f>
        <v>0</v>
      </c>
    </row>
    <row r="340" spans="1:3" x14ac:dyDescent="0.25">
      <c r="A340">
        <v>340</v>
      </c>
      <c r="B340" cm="1">
        <f t="array" ref="B340">INDEX(Optimization!$F$4:$AI$33, INT((ROW()-1)/COLUMNS(Optimization!$F$4:$AI$33))+1, MOD(ROW()-1, COLUMNS(Optimization!$F$4:$AI$33))+1)</f>
        <v>0.323970403960055</v>
      </c>
      <c r="C340" cm="1">
        <f t="array" ref="C340">INDEX(Optimization!$AT$4:$BW$33, INT((ROW()-1)/COLUMNS(Optimization!$AT$4:$BW$33))+1, MOD(ROW()-1, COLUMNS(Optimization!$AT$4:$BW$33))+1)</f>
        <v>0</v>
      </c>
    </row>
    <row r="341" spans="1:3" x14ac:dyDescent="0.25">
      <c r="A341">
        <v>341</v>
      </c>
      <c r="B341" cm="1">
        <f t="array" ref="B341">INDEX(Optimization!$F$4:$AI$33, INT((ROW()-1)/COLUMNS(Optimization!$F$4:$AI$33))+1, MOD(ROW()-1, COLUMNS(Optimization!$F$4:$AI$33))+1)</f>
        <v>0.48364971768857101</v>
      </c>
      <c r="C341" cm="1">
        <f t="array" ref="C341">INDEX(Optimization!$AT$4:$BW$33, INT((ROW()-1)/COLUMNS(Optimization!$AT$4:$BW$33))+1, MOD(ROW()-1, COLUMNS(Optimization!$AT$4:$BW$33))+1)</f>
        <v>0</v>
      </c>
    </row>
    <row r="342" spans="1:3" x14ac:dyDescent="0.25">
      <c r="A342">
        <v>342</v>
      </c>
      <c r="B342" cm="1">
        <f t="array" ref="B342">INDEX(Optimization!$F$4:$AI$33, INT((ROW()-1)/COLUMNS(Optimization!$F$4:$AI$33))+1, MOD(ROW()-1, COLUMNS(Optimization!$F$4:$AI$33))+1)</f>
        <v>0</v>
      </c>
      <c r="C342" cm="1">
        <f t="array" ref="C342">INDEX(Optimization!$AT$4:$BW$33, INT((ROW()-1)/COLUMNS(Optimization!$AT$4:$BW$33))+1, MOD(ROW()-1, COLUMNS(Optimization!$AT$4:$BW$33))+1)</f>
        <v>0</v>
      </c>
    </row>
    <row r="343" spans="1:3" x14ac:dyDescent="0.25">
      <c r="A343">
        <v>343</v>
      </c>
      <c r="B343" cm="1">
        <f t="array" ref="B343">INDEX(Optimization!$F$4:$AI$33, INT((ROW()-1)/COLUMNS(Optimization!$F$4:$AI$33))+1, MOD(ROW()-1, COLUMNS(Optimization!$F$4:$AI$33))+1)</f>
        <v>-1.13620424100854</v>
      </c>
      <c r="C343" cm="1">
        <f t="array" ref="C343">INDEX(Optimization!$AT$4:$BW$33, INT((ROW()-1)/COLUMNS(Optimization!$AT$4:$BW$33))+1, MOD(ROW()-1, COLUMNS(Optimization!$AT$4:$BW$33))+1)</f>
        <v>0</v>
      </c>
    </row>
    <row r="344" spans="1:3" x14ac:dyDescent="0.25">
      <c r="A344">
        <v>344</v>
      </c>
      <c r="B344" cm="1">
        <f t="array" ref="B344">INDEX(Optimization!$F$4:$AI$33, INT((ROW()-1)/COLUMNS(Optimization!$F$4:$AI$33))+1, MOD(ROW()-1, COLUMNS(Optimization!$F$4:$AI$33))+1)</f>
        <v>0.61967769802916295</v>
      </c>
      <c r="C344" cm="1">
        <f t="array" ref="C344">INDEX(Optimization!$AT$4:$BW$33, INT((ROW()-1)/COLUMNS(Optimization!$AT$4:$BW$33))+1, MOD(ROW()-1, COLUMNS(Optimization!$AT$4:$BW$33))+1)</f>
        <v>0</v>
      </c>
    </row>
    <row r="345" spans="1:3" x14ac:dyDescent="0.25">
      <c r="A345">
        <v>345</v>
      </c>
      <c r="B345" cm="1">
        <f t="array" ref="B345">INDEX(Optimization!$F$4:$AI$33, INT((ROW()-1)/COLUMNS(Optimization!$F$4:$AI$33))+1, MOD(ROW()-1, COLUMNS(Optimization!$F$4:$AI$33))+1)</f>
        <v>-1.0486957154844101</v>
      </c>
      <c r="C345" cm="1">
        <f t="array" ref="C345">INDEX(Optimization!$AT$4:$BW$33, INT((ROW()-1)/COLUMNS(Optimization!$AT$4:$BW$33))+1, MOD(ROW()-1, COLUMNS(Optimization!$AT$4:$BW$33))+1)</f>
        <v>0</v>
      </c>
    </row>
    <row r="346" spans="1:3" x14ac:dyDescent="0.25">
      <c r="A346">
        <v>346</v>
      </c>
      <c r="B346" cm="1">
        <f t="array" ref="B346">INDEX(Optimization!$F$4:$AI$33, INT((ROW()-1)/COLUMNS(Optimization!$F$4:$AI$33))+1, MOD(ROW()-1, COLUMNS(Optimization!$F$4:$AI$33))+1)</f>
        <v>-6.4391555010141197E-2</v>
      </c>
      <c r="C346" cm="1">
        <f t="array" ref="C346">INDEX(Optimization!$AT$4:$BW$33, INT((ROW()-1)/COLUMNS(Optimization!$AT$4:$BW$33))+1, MOD(ROW()-1, COLUMNS(Optimization!$AT$4:$BW$33))+1)</f>
        <v>0</v>
      </c>
    </row>
    <row r="347" spans="1:3" x14ac:dyDescent="0.25">
      <c r="A347">
        <v>347</v>
      </c>
      <c r="B347" cm="1">
        <f t="array" ref="B347">INDEX(Optimization!$F$4:$AI$33, INT((ROW()-1)/COLUMNS(Optimization!$F$4:$AI$33))+1, MOD(ROW()-1, COLUMNS(Optimization!$F$4:$AI$33))+1)</f>
        <v>-0.75722338438841197</v>
      </c>
      <c r="C347" cm="1">
        <f t="array" ref="C347">INDEX(Optimization!$AT$4:$BW$33, INT((ROW()-1)/COLUMNS(Optimization!$AT$4:$BW$33))+1, MOD(ROW()-1, COLUMNS(Optimization!$AT$4:$BW$33))+1)</f>
        <v>0</v>
      </c>
    </row>
    <row r="348" spans="1:3" x14ac:dyDescent="0.25">
      <c r="A348">
        <v>348</v>
      </c>
      <c r="B348" cm="1">
        <f t="array" ref="B348">INDEX(Optimization!$F$4:$AI$33, INT((ROW()-1)/COLUMNS(Optimization!$F$4:$AI$33))+1, MOD(ROW()-1, COLUMNS(Optimization!$F$4:$AI$33))+1)</f>
        <v>-0.320680559270692</v>
      </c>
      <c r="C348" cm="1">
        <f t="array" ref="C348">INDEX(Optimization!$AT$4:$BW$33, INT((ROW()-1)/COLUMNS(Optimization!$AT$4:$BW$33))+1, MOD(ROW()-1, COLUMNS(Optimization!$AT$4:$BW$33))+1)</f>
        <v>0</v>
      </c>
    </row>
    <row r="349" spans="1:3" x14ac:dyDescent="0.25">
      <c r="A349">
        <v>349</v>
      </c>
      <c r="B349" cm="1">
        <f t="array" ref="B349">INDEX(Optimization!$F$4:$AI$33, INT((ROW()-1)/COLUMNS(Optimization!$F$4:$AI$33))+1, MOD(ROW()-1, COLUMNS(Optimization!$F$4:$AI$33))+1)</f>
        <v>7.5558207879776296E-2</v>
      </c>
      <c r="C349" cm="1">
        <f t="array" ref="C349">INDEX(Optimization!$AT$4:$BW$33, INT((ROW()-1)/COLUMNS(Optimization!$AT$4:$BW$33))+1, MOD(ROW()-1, COLUMNS(Optimization!$AT$4:$BW$33))+1)</f>
        <v>0</v>
      </c>
    </row>
    <row r="350" spans="1:3" x14ac:dyDescent="0.25">
      <c r="A350">
        <v>350</v>
      </c>
      <c r="B350" cm="1">
        <f t="array" ref="B350">INDEX(Optimization!$F$4:$AI$33, INT((ROW()-1)/COLUMNS(Optimization!$F$4:$AI$33))+1, MOD(ROW()-1, COLUMNS(Optimization!$F$4:$AI$33))+1)</f>
        <v>-0.326022257266115</v>
      </c>
      <c r="C350" cm="1">
        <f t="array" ref="C350">INDEX(Optimization!$AT$4:$BW$33, INT((ROW()-1)/COLUMNS(Optimization!$AT$4:$BW$33))+1, MOD(ROW()-1, COLUMNS(Optimization!$AT$4:$BW$33))+1)</f>
        <v>0</v>
      </c>
    </row>
    <row r="351" spans="1:3" x14ac:dyDescent="0.25">
      <c r="A351">
        <v>351</v>
      </c>
      <c r="B351" cm="1">
        <f t="array" ref="B351">INDEX(Optimization!$F$4:$AI$33, INT((ROW()-1)/COLUMNS(Optimization!$F$4:$AI$33))+1, MOD(ROW()-1, COLUMNS(Optimization!$F$4:$AI$33))+1)</f>
        <v>0.63076753069080904</v>
      </c>
      <c r="C351" cm="1">
        <f t="array" ref="C351">INDEX(Optimization!$AT$4:$BW$33, INT((ROW()-1)/COLUMNS(Optimization!$AT$4:$BW$33))+1, MOD(ROW()-1, COLUMNS(Optimization!$AT$4:$BW$33))+1)</f>
        <v>0</v>
      </c>
    </row>
    <row r="352" spans="1:3" x14ac:dyDescent="0.25">
      <c r="A352">
        <v>352</v>
      </c>
      <c r="B352" cm="1">
        <f t="array" ref="B352">INDEX(Optimization!$F$4:$AI$33, INT((ROW()-1)/COLUMNS(Optimization!$F$4:$AI$33))+1, MOD(ROW()-1, COLUMNS(Optimization!$F$4:$AI$33))+1)</f>
        <v>-0.25993534064974699</v>
      </c>
      <c r="C352" cm="1">
        <f t="array" ref="C352">INDEX(Optimization!$AT$4:$BW$33, INT((ROW()-1)/COLUMNS(Optimization!$AT$4:$BW$33))+1, MOD(ROW()-1, COLUMNS(Optimization!$AT$4:$BW$33))+1)</f>
        <v>0</v>
      </c>
    </row>
    <row r="353" spans="1:3" x14ac:dyDescent="0.25">
      <c r="A353">
        <v>353</v>
      </c>
      <c r="B353" cm="1">
        <f t="array" ref="B353">INDEX(Optimization!$F$4:$AI$33, INT((ROW()-1)/COLUMNS(Optimization!$F$4:$AI$33))+1, MOD(ROW()-1, COLUMNS(Optimization!$F$4:$AI$33))+1)</f>
        <v>1.07242261706188</v>
      </c>
      <c r="C353" cm="1">
        <f t="array" ref="C353">INDEX(Optimization!$AT$4:$BW$33, INT((ROW()-1)/COLUMNS(Optimization!$AT$4:$BW$33))+1, MOD(ROW()-1, COLUMNS(Optimization!$AT$4:$BW$33))+1)</f>
        <v>0</v>
      </c>
    </row>
    <row r="354" spans="1:3" x14ac:dyDescent="0.25">
      <c r="A354">
        <v>354</v>
      </c>
      <c r="B354" cm="1">
        <f t="array" ref="B354">INDEX(Optimization!$F$4:$AI$33, INT((ROW()-1)/COLUMNS(Optimization!$F$4:$AI$33))+1, MOD(ROW()-1, COLUMNS(Optimization!$F$4:$AI$33))+1)</f>
        <v>0.115432832862902</v>
      </c>
      <c r="C354" cm="1">
        <f t="array" ref="C354">INDEX(Optimization!$AT$4:$BW$33, INT((ROW()-1)/COLUMNS(Optimization!$AT$4:$BW$33))+1, MOD(ROW()-1, COLUMNS(Optimization!$AT$4:$BW$33))+1)</f>
        <v>0</v>
      </c>
    </row>
    <row r="355" spans="1:3" x14ac:dyDescent="0.25">
      <c r="A355">
        <v>355</v>
      </c>
      <c r="B355" cm="1">
        <f t="array" ref="B355">INDEX(Optimization!$F$4:$AI$33, INT((ROW()-1)/COLUMNS(Optimization!$F$4:$AI$33))+1, MOD(ROW()-1, COLUMNS(Optimization!$F$4:$AI$33))+1)</f>
        <v>-1.03423417994375</v>
      </c>
      <c r="C355" cm="1">
        <f t="array" ref="C355">INDEX(Optimization!$AT$4:$BW$33, INT((ROW()-1)/COLUMNS(Optimization!$AT$4:$BW$33))+1, MOD(ROW()-1, COLUMNS(Optimization!$AT$4:$BW$33))+1)</f>
        <v>0</v>
      </c>
    </row>
    <row r="356" spans="1:3" x14ac:dyDescent="0.25">
      <c r="A356">
        <v>356</v>
      </c>
      <c r="B356" cm="1">
        <f t="array" ref="B356">INDEX(Optimization!$F$4:$AI$33, INT((ROW()-1)/COLUMNS(Optimization!$F$4:$AI$33))+1, MOD(ROW()-1, COLUMNS(Optimization!$F$4:$AI$33))+1)</f>
        <v>0.23526430316235999</v>
      </c>
      <c r="C356" cm="1">
        <f t="array" ref="C356">INDEX(Optimization!$AT$4:$BW$33, INT((ROW()-1)/COLUMNS(Optimization!$AT$4:$BW$33))+1, MOD(ROW()-1, COLUMNS(Optimization!$AT$4:$BW$33))+1)</f>
        <v>0</v>
      </c>
    </row>
    <row r="357" spans="1:3" x14ac:dyDescent="0.25">
      <c r="A357">
        <v>357</v>
      </c>
      <c r="B357" cm="1">
        <f t="array" ref="B357">INDEX(Optimization!$F$4:$AI$33, INT((ROW()-1)/COLUMNS(Optimization!$F$4:$AI$33))+1, MOD(ROW()-1, COLUMNS(Optimization!$F$4:$AI$33))+1)</f>
        <v>4.7254095061737299E-2</v>
      </c>
      <c r="C357" cm="1">
        <f t="array" ref="C357">INDEX(Optimization!$AT$4:$BW$33, INT((ROW()-1)/COLUMNS(Optimization!$AT$4:$BW$33))+1, MOD(ROW()-1, COLUMNS(Optimization!$AT$4:$BW$33))+1)</f>
        <v>0</v>
      </c>
    </row>
    <row r="358" spans="1:3" x14ac:dyDescent="0.25">
      <c r="A358">
        <v>358</v>
      </c>
      <c r="B358" cm="1">
        <f t="array" ref="B358">INDEX(Optimization!$F$4:$AI$33, INT((ROW()-1)/COLUMNS(Optimization!$F$4:$AI$33))+1, MOD(ROW()-1, COLUMNS(Optimization!$F$4:$AI$33))+1)</f>
        <v>0.22304993612130999</v>
      </c>
      <c r="C358" cm="1">
        <f t="array" ref="C358">INDEX(Optimization!$AT$4:$BW$33, INT((ROW()-1)/COLUMNS(Optimization!$AT$4:$BW$33))+1, MOD(ROW()-1, COLUMNS(Optimization!$AT$4:$BW$33))+1)</f>
        <v>0</v>
      </c>
    </row>
    <row r="359" spans="1:3" x14ac:dyDescent="0.25">
      <c r="A359">
        <v>359</v>
      </c>
      <c r="B359" cm="1">
        <f t="array" ref="B359">INDEX(Optimization!$F$4:$AI$33, INT((ROW()-1)/COLUMNS(Optimization!$F$4:$AI$33))+1, MOD(ROW()-1, COLUMNS(Optimization!$F$4:$AI$33))+1)</f>
        <v>-0.53573559091358103</v>
      </c>
      <c r="C359" cm="1">
        <f t="array" ref="C359">INDEX(Optimization!$AT$4:$BW$33, INT((ROW()-1)/COLUMNS(Optimization!$AT$4:$BW$33))+1, MOD(ROW()-1, COLUMNS(Optimization!$AT$4:$BW$33))+1)</f>
        <v>0</v>
      </c>
    </row>
    <row r="360" spans="1:3" x14ac:dyDescent="0.25">
      <c r="A360">
        <v>360</v>
      </c>
      <c r="B360" cm="1">
        <f t="array" ref="B360">INDEX(Optimization!$F$4:$AI$33, INT((ROW()-1)/COLUMNS(Optimization!$F$4:$AI$33))+1, MOD(ROW()-1, COLUMNS(Optimization!$F$4:$AI$33))+1)</f>
        <v>-0.61484171393075204</v>
      </c>
      <c r="C360" cm="1">
        <f t="array" ref="C360">INDEX(Optimization!$AT$4:$BW$33, INT((ROW()-1)/COLUMNS(Optimization!$AT$4:$BW$33))+1, MOD(ROW()-1, COLUMNS(Optimization!$AT$4:$BW$33))+1)</f>
        <v>0</v>
      </c>
    </row>
    <row r="361" spans="1:3" x14ac:dyDescent="0.25">
      <c r="A361">
        <v>361</v>
      </c>
      <c r="B361" cm="1">
        <f t="array" ref="B361">INDEX(Optimization!$F$4:$AI$33, INT((ROW()-1)/COLUMNS(Optimization!$F$4:$AI$33))+1, MOD(ROW()-1, COLUMNS(Optimization!$F$4:$AI$33))+1)</f>
        <v>0.48265320860602501</v>
      </c>
      <c r="C361" cm="1">
        <f t="array" ref="C361">INDEX(Optimization!$AT$4:$BW$33, INT((ROW()-1)/COLUMNS(Optimization!$AT$4:$BW$33))+1, MOD(ROW()-1, COLUMNS(Optimization!$AT$4:$BW$33))+1)</f>
        <v>0</v>
      </c>
    </row>
    <row r="362" spans="1:3" x14ac:dyDescent="0.25">
      <c r="A362">
        <v>362</v>
      </c>
      <c r="B362" cm="1">
        <f t="array" ref="B362">INDEX(Optimization!$F$4:$AI$33, INT((ROW()-1)/COLUMNS(Optimization!$F$4:$AI$33))+1, MOD(ROW()-1, COLUMNS(Optimization!$F$4:$AI$33))+1)</f>
        <v>-0.76817790759372895</v>
      </c>
      <c r="C362" cm="1">
        <f t="array" ref="C362">INDEX(Optimization!$AT$4:$BW$33, INT((ROW()-1)/COLUMNS(Optimization!$AT$4:$BW$33))+1, MOD(ROW()-1, COLUMNS(Optimization!$AT$4:$BW$33))+1)</f>
        <v>0</v>
      </c>
    </row>
    <row r="363" spans="1:3" x14ac:dyDescent="0.25">
      <c r="A363">
        <v>363</v>
      </c>
      <c r="B363" cm="1">
        <f t="array" ref="B363">INDEX(Optimization!$F$4:$AI$33, INT((ROW()-1)/COLUMNS(Optimization!$F$4:$AI$33))+1, MOD(ROW()-1, COLUMNS(Optimization!$F$4:$AI$33))+1)</f>
        <v>0.210358878174745</v>
      </c>
      <c r="C363" cm="1">
        <f t="array" ref="C363">INDEX(Optimization!$AT$4:$BW$33, INT((ROW()-1)/COLUMNS(Optimization!$AT$4:$BW$33))+1, MOD(ROW()-1, COLUMNS(Optimization!$AT$4:$BW$33))+1)</f>
        <v>0</v>
      </c>
    </row>
    <row r="364" spans="1:3" x14ac:dyDescent="0.25">
      <c r="A364">
        <v>364</v>
      </c>
      <c r="B364" cm="1">
        <f t="array" ref="B364">INDEX(Optimization!$F$4:$AI$33, INT((ROW()-1)/COLUMNS(Optimization!$F$4:$AI$33))+1, MOD(ROW()-1, COLUMNS(Optimization!$F$4:$AI$33))+1)</f>
        <v>-0.101334239327442</v>
      </c>
      <c r="C364" cm="1">
        <f t="array" ref="C364">INDEX(Optimization!$AT$4:$BW$33, INT((ROW()-1)/COLUMNS(Optimization!$AT$4:$BW$33))+1, MOD(ROW()-1, COLUMNS(Optimization!$AT$4:$BW$33))+1)</f>
        <v>0</v>
      </c>
    </row>
    <row r="365" spans="1:3" x14ac:dyDescent="0.25">
      <c r="A365">
        <v>365</v>
      </c>
      <c r="B365" cm="1">
        <f t="array" ref="B365">INDEX(Optimization!$F$4:$AI$33, INT((ROW()-1)/COLUMNS(Optimization!$F$4:$AI$33))+1, MOD(ROW()-1, COLUMNS(Optimization!$F$4:$AI$33))+1)</f>
        <v>0.98425987223348099</v>
      </c>
      <c r="C365" cm="1">
        <f t="array" ref="C365">INDEX(Optimization!$AT$4:$BW$33, INT((ROW()-1)/COLUMNS(Optimization!$AT$4:$BW$33))+1, MOD(ROW()-1, COLUMNS(Optimization!$AT$4:$BW$33))+1)</f>
        <v>0</v>
      </c>
    </row>
    <row r="366" spans="1:3" x14ac:dyDescent="0.25">
      <c r="A366">
        <v>366</v>
      </c>
      <c r="B366" cm="1">
        <f t="array" ref="B366">INDEX(Optimization!$F$4:$AI$33, INT((ROW()-1)/COLUMNS(Optimization!$F$4:$AI$33))+1, MOD(ROW()-1, COLUMNS(Optimization!$F$4:$AI$33))+1)</f>
        <v>0.21690314779181899</v>
      </c>
      <c r="C366" cm="1">
        <f t="array" ref="C366">INDEX(Optimization!$AT$4:$BW$33, INT((ROW()-1)/COLUMNS(Optimization!$AT$4:$BW$33))+1, MOD(ROW()-1, COLUMNS(Optimization!$AT$4:$BW$33))+1)</f>
        <v>0</v>
      </c>
    </row>
    <row r="367" spans="1:3" x14ac:dyDescent="0.25">
      <c r="A367">
        <v>367</v>
      </c>
      <c r="B367" cm="1">
        <f t="array" ref="B367">INDEX(Optimization!$F$4:$AI$33, INT((ROW()-1)/COLUMNS(Optimization!$F$4:$AI$33))+1, MOD(ROW()-1, COLUMNS(Optimization!$F$4:$AI$33))+1)</f>
        <v>-0.37984659182723302</v>
      </c>
      <c r="C367" cm="1">
        <f t="array" ref="C367">INDEX(Optimization!$AT$4:$BW$33, INT((ROW()-1)/COLUMNS(Optimization!$AT$4:$BW$33))+1, MOD(ROW()-1, COLUMNS(Optimization!$AT$4:$BW$33))+1)</f>
        <v>0</v>
      </c>
    </row>
    <row r="368" spans="1:3" x14ac:dyDescent="0.25">
      <c r="A368">
        <v>368</v>
      </c>
      <c r="B368" cm="1">
        <f t="array" ref="B368">INDEX(Optimization!$F$4:$AI$33, INT((ROW()-1)/COLUMNS(Optimization!$F$4:$AI$33))+1, MOD(ROW()-1, COLUMNS(Optimization!$F$4:$AI$33))+1)</f>
        <v>-0.161879541210631</v>
      </c>
      <c r="C368" cm="1">
        <f t="array" ref="C368">INDEX(Optimization!$AT$4:$BW$33, INT((ROW()-1)/COLUMNS(Optimization!$AT$4:$BW$33))+1, MOD(ROW()-1, COLUMNS(Optimization!$AT$4:$BW$33))+1)</f>
        <v>0</v>
      </c>
    </row>
    <row r="369" spans="1:3" x14ac:dyDescent="0.25">
      <c r="A369">
        <v>369</v>
      </c>
      <c r="B369" cm="1">
        <f t="array" ref="B369">INDEX(Optimization!$F$4:$AI$33, INT((ROW()-1)/COLUMNS(Optimization!$F$4:$AI$33))+1, MOD(ROW()-1, COLUMNS(Optimization!$F$4:$AI$33))+1)</f>
        <v>-0.37916508271968302</v>
      </c>
      <c r="C369" cm="1">
        <f t="array" ref="C369">INDEX(Optimization!$AT$4:$BW$33, INT((ROW()-1)/COLUMNS(Optimization!$AT$4:$BW$33))+1, MOD(ROW()-1, COLUMNS(Optimization!$AT$4:$BW$33))+1)</f>
        <v>0</v>
      </c>
    </row>
    <row r="370" spans="1:3" x14ac:dyDescent="0.25">
      <c r="A370">
        <v>370</v>
      </c>
      <c r="B370" cm="1">
        <f t="array" ref="B370">INDEX(Optimization!$F$4:$AI$33, INT((ROW()-1)/COLUMNS(Optimization!$F$4:$AI$33))+1, MOD(ROW()-1, COLUMNS(Optimization!$F$4:$AI$33))+1)</f>
        <v>1.01754169978609</v>
      </c>
      <c r="C370" cm="1">
        <f t="array" ref="C370">INDEX(Optimization!$AT$4:$BW$33, INT((ROW()-1)/COLUMNS(Optimization!$AT$4:$BW$33))+1, MOD(ROW()-1, COLUMNS(Optimization!$AT$4:$BW$33))+1)</f>
        <v>0</v>
      </c>
    </row>
    <row r="371" spans="1:3" x14ac:dyDescent="0.25">
      <c r="A371">
        <v>371</v>
      </c>
      <c r="B371" cm="1">
        <f t="array" ref="B371">INDEX(Optimization!$F$4:$AI$33, INT((ROW()-1)/COLUMNS(Optimization!$F$4:$AI$33))+1, MOD(ROW()-1, COLUMNS(Optimization!$F$4:$AI$33))+1)</f>
        <v>-0.36140205522229402</v>
      </c>
      <c r="C371" cm="1">
        <f t="array" ref="C371">INDEX(Optimization!$AT$4:$BW$33, INT((ROW()-1)/COLUMNS(Optimization!$AT$4:$BW$33))+1, MOD(ROW()-1, COLUMNS(Optimization!$AT$4:$BW$33))+1)</f>
        <v>0</v>
      </c>
    </row>
    <row r="372" spans="1:3" x14ac:dyDescent="0.25">
      <c r="A372">
        <v>372</v>
      </c>
      <c r="B372" cm="1">
        <f t="array" ref="B372">INDEX(Optimization!$F$4:$AI$33, INT((ROW()-1)/COLUMNS(Optimization!$F$4:$AI$33))+1, MOD(ROW()-1, COLUMNS(Optimization!$F$4:$AI$33))+1)</f>
        <v>-1.13620424100854</v>
      </c>
      <c r="C372" cm="1">
        <f t="array" ref="C372">INDEX(Optimization!$AT$4:$BW$33, INT((ROW()-1)/COLUMNS(Optimization!$AT$4:$BW$33))+1, MOD(ROW()-1, COLUMNS(Optimization!$AT$4:$BW$33))+1)</f>
        <v>0</v>
      </c>
    </row>
    <row r="373" spans="1:3" x14ac:dyDescent="0.25">
      <c r="A373">
        <v>373</v>
      </c>
      <c r="B373" cm="1">
        <f t="array" ref="B373">INDEX(Optimization!$F$4:$AI$33, INT((ROW()-1)/COLUMNS(Optimization!$F$4:$AI$33))+1, MOD(ROW()-1, COLUMNS(Optimization!$F$4:$AI$33))+1)</f>
        <v>0</v>
      </c>
      <c r="C373" cm="1">
        <f t="array" ref="C373">INDEX(Optimization!$AT$4:$BW$33, INT((ROW()-1)/COLUMNS(Optimization!$AT$4:$BW$33))+1, MOD(ROW()-1, COLUMNS(Optimization!$AT$4:$BW$33))+1)</f>
        <v>0</v>
      </c>
    </row>
    <row r="374" spans="1:3" x14ac:dyDescent="0.25">
      <c r="A374">
        <v>374</v>
      </c>
      <c r="B374" cm="1">
        <f t="array" ref="B374">INDEX(Optimization!$F$4:$AI$33, INT((ROW()-1)/COLUMNS(Optimization!$F$4:$AI$33))+1, MOD(ROW()-1, COLUMNS(Optimization!$F$4:$AI$33))+1)</f>
        <v>0.49546562574534803</v>
      </c>
      <c r="C374" cm="1">
        <f t="array" ref="C374">INDEX(Optimization!$AT$4:$BW$33, INT((ROW()-1)/COLUMNS(Optimization!$AT$4:$BW$33))+1, MOD(ROW()-1, COLUMNS(Optimization!$AT$4:$BW$33))+1)</f>
        <v>0</v>
      </c>
    </row>
    <row r="375" spans="1:3" x14ac:dyDescent="0.25">
      <c r="A375">
        <v>375</v>
      </c>
      <c r="B375" cm="1">
        <f t="array" ref="B375">INDEX(Optimization!$F$4:$AI$33, INT((ROW()-1)/COLUMNS(Optimization!$F$4:$AI$33))+1, MOD(ROW()-1, COLUMNS(Optimization!$F$4:$AI$33))+1)</f>
        <v>-7.5298324920621995E-2</v>
      </c>
      <c r="C375" cm="1">
        <f t="array" ref="C375">INDEX(Optimization!$AT$4:$BW$33, INT((ROW()-1)/COLUMNS(Optimization!$AT$4:$BW$33))+1, MOD(ROW()-1, COLUMNS(Optimization!$AT$4:$BW$33))+1)</f>
        <v>0</v>
      </c>
    </row>
    <row r="376" spans="1:3" x14ac:dyDescent="0.25">
      <c r="A376">
        <v>376</v>
      </c>
      <c r="B376" cm="1">
        <f t="array" ref="B376">INDEX(Optimization!$F$4:$AI$33, INT((ROW()-1)/COLUMNS(Optimization!$F$4:$AI$33))+1, MOD(ROW()-1, COLUMNS(Optimization!$F$4:$AI$33))+1)</f>
        <v>-1.74514281011281E-2</v>
      </c>
      <c r="C376" cm="1">
        <f t="array" ref="C376">INDEX(Optimization!$AT$4:$BW$33, INT((ROW()-1)/COLUMNS(Optimization!$AT$4:$BW$33))+1, MOD(ROW()-1, COLUMNS(Optimization!$AT$4:$BW$33))+1)</f>
        <v>0</v>
      </c>
    </row>
    <row r="377" spans="1:3" x14ac:dyDescent="0.25">
      <c r="A377">
        <v>377</v>
      </c>
      <c r="B377" cm="1">
        <f t="array" ref="B377">INDEX(Optimization!$F$4:$AI$33, INT((ROW()-1)/COLUMNS(Optimization!$F$4:$AI$33))+1, MOD(ROW()-1, COLUMNS(Optimization!$F$4:$AI$33))+1)</f>
        <v>-0.25119034927516298</v>
      </c>
      <c r="C377" cm="1">
        <f t="array" ref="C377">INDEX(Optimization!$AT$4:$BW$33, INT((ROW()-1)/COLUMNS(Optimization!$AT$4:$BW$33))+1, MOD(ROW()-1, COLUMNS(Optimization!$AT$4:$BW$33))+1)</f>
        <v>0</v>
      </c>
    </row>
    <row r="378" spans="1:3" x14ac:dyDescent="0.25">
      <c r="A378">
        <v>378</v>
      </c>
      <c r="B378" cm="1">
        <f t="array" ref="B378">INDEX(Optimization!$F$4:$AI$33, INT((ROW()-1)/COLUMNS(Optimization!$F$4:$AI$33))+1, MOD(ROW()-1, COLUMNS(Optimization!$F$4:$AI$33))+1)</f>
        <v>-0.92115331084122098</v>
      </c>
      <c r="C378" cm="1">
        <f t="array" ref="C378">INDEX(Optimization!$AT$4:$BW$33, INT((ROW()-1)/COLUMNS(Optimization!$AT$4:$BW$33))+1, MOD(ROW()-1, COLUMNS(Optimization!$AT$4:$BW$33))+1)</f>
        <v>0</v>
      </c>
    </row>
    <row r="379" spans="1:3" x14ac:dyDescent="0.25">
      <c r="A379">
        <v>379</v>
      </c>
      <c r="B379" cm="1">
        <f t="array" ref="B379">INDEX(Optimization!$F$4:$AI$33, INT((ROW()-1)/COLUMNS(Optimization!$F$4:$AI$33))+1, MOD(ROW()-1, COLUMNS(Optimization!$F$4:$AI$33))+1)</f>
        <v>-0.22094579075656001</v>
      </c>
      <c r="C379" cm="1">
        <f t="array" ref="C379">INDEX(Optimization!$AT$4:$BW$33, INT((ROW()-1)/COLUMNS(Optimization!$AT$4:$BW$33))+1, MOD(ROW()-1, COLUMNS(Optimization!$AT$4:$BW$33))+1)</f>
        <v>0</v>
      </c>
    </row>
    <row r="380" spans="1:3" x14ac:dyDescent="0.25">
      <c r="A380">
        <v>380</v>
      </c>
      <c r="B380" cm="1">
        <f t="array" ref="B380">INDEX(Optimization!$F$4:$AI$33, INT((ROW()-1)/COLUMNS(Optimization!$F$4:$AI$33))+1, MOD(ROW()-1, COLUMNS(Optimization!$F$4:$AI$33))+1)</f>
        <v>-0.93977928822118595</v>
      </c>
      <c r="C380" cm="1">
        <f t="array" ref="C380">INDEX(Optimization!$AT$4:$BW$33, INT((ROW()-1)/COLUMNS(Optimization!$AT$4:$BW$33))+1, MOD(ROW()-1, COLUMNS(Optimization!$AT$4:$BW$33))+1)</f>
        <v>0</v>
      </c>
    </row>
    <row r="381" spans="1:3" x14ac:dyDescent="0.25">
      <c r="A381">
        <v>381</v>
      </c>
      <c r="B381" cm="1">
        <f t="array" ref="B381">INDEX(Optimization!$F$4:$AI$33, INT((ROW()-1)/COLUMNS(Optimization!$F$4:$AI$33))+1, MOD(ROW()-1, COLUMNS(Optimization!$F$4:$AI$33))+1)</f>
        <v>-9.1727009021761105E-2</v>
      </c>
      <c r="C381" cm="1">
        <f t="array" ref="C381">INDEX(Optimization!$AT$4:$BW$33, INT((ROW()-1)/COLUMNS(Optimization!$AT$4:$BW$33))+1, MOD(ROW()-1, COLUMNS(Optimization!$AT$4:$BW$33))+1)</f>
        <v>0</v>
      </c>
    </row>
    <row r="382" spans="1:3" x14ac:dyDescent="0.25">
      <c r="A382">
        <v>382</v>
      </c>
      <c r="B382" cm="1">
        <f t="array" ref="B382">INDEX(Optimization!$F$4:$AI$33, INT((ROW()-1)/COLUMNS(Optimization!$F$4:$AI$33))+1, MOD(ROW()-1, COLUMNS(Optimization!$F$4:$AI$33))+1)</f>
        <v>0.258541831619507</v>
      </c>
      <c r="C382" cm="1">
        <f t="array" ref="C382">INDEX(Optimization!$AT$4:$BW$33, INT((ROW()-1)/COLUMNS(Optimization!$AT$4:$BW$33))+1, MOD(ROW()-1, COLUMNS(Optimization!$AT$4:$BW$33))+1)</f>
        <v>0</v>
      </c>
    </row>
    <row r="383" spans="1:3" x14ac:dyDescent="0.25">
      <c r="A383">
        <v>383</v>
      </c>
      <c r="B383" cm="1">
        <f t="array" ref="B383">INDEX(Optimization!$F$4:$AI$33, INT((ROW()-1)/COLUMNS(Optimization!$F$4:$AI$33))+1, MOD(ROW()-1, COLUMNS(Optimization!$F$4:$AI$33))+1)</f>
        <v>0.66309382271782602</v>
      </c>
      <c r="C383" cm="1">
        <f t="array" ref="C383">INDEX(Optimization!$AT$4:$BW$33, INT((ROW()-1)/COLUMNS(Optimization!$AT$4:$BW$33))+1, MOD(ROW()-1, COLUMNS(Optimization!$AT$4:$BW$33))+1)</f>
        <v>0</v>
      </c>
    </row>
    <row r="384" spans="1:3" x14ac:dyDescent="0.25">
      <c r="A384">
        <v>384</v>
      </c>
      <c r="B384" cm="1">
        <f t="array" ref="B384">INDEX(Optimization!$F$4:$AI$33, INT((ROW()-1)/COLUMNS(Optimization!$F$4:$AI$33))+1, MOD(ROW()-1, COLUMNS(Optimization!$F$4:$AI$33))+1)</f>
        <v>-0.509930535091492</v>
      </c>
      <c r="C384" cm="1">
        <f t="array" ref="C384">INDEX(Optimization!$AT$4:$BW$33, INT((ROW()-1)/COLUMNS(Optimization!$AT$4:$BW$33))+1, MOD(ROW()-1, COLUMNS(Optimization!$AT$4:$BW$33))+1)</f>
        <v>0</v>
      </c>
    </row>
    <row r="385" spans="1:3" x14ac:dyDescent="0.25">
      <c r="A385">
        <v>385</v>
      </c>
      <c r="B385" cm="1">
        <f t="array" ref="B385">INDEX(Optimization!$F$4:$AI$33, INT((ROW()-1)/COLUMNS(Optimization!$F$4:$AI$33))+1, MOD(ROW()-1, COLUMNS(Optimization!$F$4:$AI$33))+1)</f>
        <v>-0.44939574390970899</v>
      </c>
      <c r="C385" cm="1">
        <f t="array" ref="C385">INDEX(Optimization!$AT$4:$BW$33, INT((ROW()-1)/COLUMNS(Optimization!$AT$4:$BW$33))+1, MOD(ROW()-1, COLUMNS(Optimization!$AT$4:$BW$33))+1)</f>
        <v>0</v>
      </c>
    </row>
    <row r="386" spans="1:3" x14ac:dyDescent="0.25">
      <c r="A386">
        <v>386</v>
      </c>
      <c r="B386" cm="1">
        <f t="array" ref="B386">INDEX(Optimization!$F$4:$AI$33, INT((ROW()-1)/COLUMNS(Optimization!$F$4:$AI$33))+1, MOD(ROW()-1, COLUMNS(Optimization!$F$4:$AI$33))+1)</f>
        <v>9.95400073805663E-2</v>
      </c>
      <c r="C386" cm="1">
        <f t="array" ref="C386">INDEX(Optimization!$AT$4:$BW$33, INT((ROW()-1)/COLUMNS(Optimization!$AT$4:$BW$33))+1, MOD(ROW()-1, COLUMNS(Optimization!$AT$4:$BW$33))+1)</f>
        <v>0</v>
      </c>
    </row>
    <row r="387" spans="1:3" x14ac:dyDescent="0.25">
      <c r="A387">
        <v>387</v>
      </c>
      <c r="B387" cm="1">
        <f t="array" ref="B387">INDEX(Optimization!$F$4:$AI$33, INT((ROW()-1)/COLUMNS(Optimization!$F$4:$AI$33))+1, MOD(ROW()-1, COLUMNS(Optimization!$F$4:$AI$33))+1)</f>
        <v>1.05683433101985</v>
      </c>
      <c r="C387" cm="1">
        <f t="array" ref="C387">INDEX(Optimization!$AT$4:$BW$33, INT((ROW()-1)/COLUMNS(Optimization!$AT$4:$BW$33))+1, MOD(ROW()-1, COLUMNS(Optimization!$AT$4:$BW$33))+1)</f>
        <v>0</v>
      </c>
    </row>
    <row r="388" spans="1:3" x14ac:dyDescent="0.25">
      <c r="A388">
        <v>388</v>
      </c>
      <c r="B388" cm="1">
        <f t="array" ref="B388">INDEX(Optimization!$F$4:$AI$33, INT((ROW()-1)/COLUMNS(Optimization!$F$4:$AI$33))+1, MOD(ROW()-1, COLUMNS(Optimization!$F$4:$AI$33))+1)</f>
        <v>0.66863418435712596</v>
      </c>
      <c r="C388" cm="1">
        <f t="array" ref="C388">INDEX(Optimization!$AT$4:$BW$33, INT((ROW()-1)/COLUMNS(Optimization!$AT$4:$BW$33))+1, MOD(ROW()-1, COLUMNS(Optimization!$AT$4:$BW$33))+1)</f>
        <v>0</v>
      </c>
    </row>
    <row r="389" spans="1:3" x14ac:dyDescent="0.25">
      <c r="A389">
        <v>389</v>
      </c>
      <c r="B389" cm="1">
        <f t="array" ref="B389">INDEX(Optimization!$F$4:$AI$33, INT((ROW()-1)/COLUMNS(Optimization!$F$4:$AI$33))+1, MOD(ROW()-1, COLUMNS(Optimization!$F$4:$AI$33))+1)</f>
        <v>0.522253613866274</v>
      </c>
      <c r="C389" cm="1">
        <f t="array" ref="C389">INDEX(Optimization!$AT$4:$BW$33, INT((ROW()-1)/COLUMNS(Optimization!$AT$4:$BW$33))+1, MOD(ROW()-1, COLUMNS(Optimization!$AT$4:$BW$33))+1)</f>
        <v>0</v>
      </c>
    </row>
    <row r="390" spans="1:3" x14ac:dyDescent="0.25">
      <c r="A390">
        <v>390</v>
      </c>
      <c r="B390" cm="1">
        <f t="array" ref="B390">INDEX(Optimization!$F$4:$AI$33, INT((ROW()-1)/COLUMNS(Optimization!$F$4:$AI$33))+1, MOD(ROW()-1, COLUMNS(Optimization!$F$4:$AI$33))+1)</f>
        <v>-0.56192395395350403</v>
      </c>
      <c r="C390" cm="1">
        <f t="array" ref="C390">INDEX(Optimization!$AT$4:$BW$33, INT((ROW()-1)/COLUMNS(Optimization!$AT$4:$BW$33))+1, MOD(ROW()-1, COLUMNS(Optimization!$AT$4:$BW$33))+1)</f>
        <v>0</v>
      </c>
    </row>
    <row r="391" spans="1:3" x14ac:dyDescent="0.25">
      <c r="A391">
        <v>391</v>
      </c>
      <c r="B391" cm="1">
        <f t="array" ref="B391">INDEX(Optimization!$F$4:$AI$33, INT((ROW()-1)/COLUMNS(Optimization!$F$4:$AI$33))+1, MOD(ROW()-1, COLUMNS(Optimization!$F$4:$AI$33))+1)</f>
        <v>0.42670491961294399</v>
      </c>
      <c r="C391" cm="1">
        <f t="array" ref="C391">INDEX(Optimization!$AT$4:$BW$33, INT((ROW()-1)/COLUMNS(Optimization!$AT$4:$BW$33))+1, MOD(ROW()-1, COLUMNS(Optimization!$AT$4:$BW$33))+1)</f>
        <v>0</v>
      </c>
    </row>
    <row r="392" spans="1:3" x14ac:dyDescent="0.25">
      <c r="A392">
        <v>392</v>
      </c>
      <c r="B392" cm="1">
        <f t="array" ref="B392">INDEX(Optimization!$F$4:$AI$33, INT((ROW()-1)/COLUMNS(Optimization!$F$4:$AI$33))+1, MOD(ROW()-1, COLUMNS(Optimization!$F$4:$AI$33))+1)</f>
        <v>-0.56065515351138095</v>
      </c>
      <c r="C392" cm="1">
        <f t="array" ref="C392">INDEX(Optimization!$AT$4:$BW$33, INT((ROW()-1)/COLUMNS(Optimization!$AT$4:$BW$33))+1, MOD(ROW()-1, COLUMNS(Optimization!$AT$4:$BW$33))+1)</f>
        <v>0</v>
      </c>
    </row>
    <row r="393" spans="1:3" x14ac:dyDescent="0.25">
      <c r="A393">
        <v>393</v>
      </c>
      <c r="B393" cm="1">
        <f t="array" ref="B393">INDEX(Optimization!$F$4:$AI$33, INT((ROW()-1)/COLUMNS(Optimization!$F$4:$AI$33))+1, MOD(ROW()-1, COLUMNS(Optimization!$F$4:$AI$33))+1)</f>
        <v>0.65818775705870902</v>
      </c>
      <c r="C393" cm="1">
        <f t="array" ref="C393">INDEX(Optimization!$AT$4:$BW$33, INT((ROW()-1)/COLUMNS(Optimization!$AT$4:$BW$33))+1, MOD(ROW()-1, COLUMNS(Optimization!$AT$4:$BW$33))+1)</f>
        <v>0</v>
      </c>
    </row>
    <row r="394" spans="1:3" x14ac:dyDescent="0.25">
      <c r="A394">
        <v>394</v>
      </c>
      <c r="B394" cm="1">
        <f t="array" ref="B394">INDEX(Optimization!$F$4:$AI$33, INT((ROW()-1)/COLUMNS(Optimization!$F$4:$AI$33))+1, MOD(ROW()-1, COLUMNS(Optimization!$F$4:$AI$33))+1)</f>
        <v>-0.95486874855735104</v>
      </c>
      <c r="C394" cm="1">
        <f t="array" ref="C394">INDEX(Optimization!$AT$4:$BW$33, INT((ROW()-1)/COLUMNS(Optimization!$AT$4:$BW$33))+1, MOD(ROW()-1, COLUMNS(Optimization!$AT$4:$BW$33))+1)</f>
        <v>0</v>
      </c>
    </row>
    <row r="395" spans="1:3" x14ac:dyDescent="0.25">
      <c r="A395">
        <v>395</v>
      </c>
      <c r="B395" cm="1">
        <f t="array" ref="B395">INDEX(Optimization!$F$4:$AI$33, INT((ROW()-1)/COLUMNS(Optimization!$F$4:$AI$33))+1, MOD(ROW()-1, COLUMNS(Optimization!$F$4:$AI$33))+1)</f>
        <v>0.56553656234427696</v>
      </c>
      <c r="C395" cm="1">
        <f t="array" ref="C395">INDEX(Optimization!$AT$4:$BW$33, INT((ROW()-1)/COLUMNS(Optimization!$AT$4:$BW$33))+1, MOD(ROW()-1, COLUMNS(Optimization!$AT$4:$BW$33))+1)</f>
        <v>0</v>
      </c>
    </row>
    <row r="396" spans="1:3" x14ac:dyDescent="0.25">
      <c r="A396">
        <v>396</v>
      </c>
      <c r="B396" cm="1">
        <f t="array" ref="B396">INDEX(Optimization!$F$4:$AI$33, INT((ROW()-1)/COLUMNS(Optimization!$F$4:$AI$33))+1, MOD(ROW()-1, COLUMNS(Optimization!$F$4:$AI$33))+1)</f>
        <v>0.42400768695504598</v>
      </c>
      <c r="C396" cm="1">
        <f t="array" ref="C396">INDEX(Optimization!$AT$4:$BW$33, INT((ROW()-1)/COLUMNS(Optimization!$AT$4:$BW$33))+1, MOD(ROW()-1, COLUMNS(Optimization!$AT$4:$BW$33))+1)</f>
        <v>0</v>
      </c>
    </row>
    <row r="397" spans="1:3" x14ac:dyDescent="0.25">
      <c r="A397">
        <v>397</v>
      </c>
      <c r="B397" cm="1">
        <f t="array" ref="B397">INDEX(Optimization!$F$4:$AI$33, INT((ROW()-1)/COLUMNS(Optimization!$F$4:$AI$33))+1, MOD(ROW()-1, COLUMNS(Optimization!$F$4:$AI$33))+1)</f>
        <v>0.77812072236795404</v>
      </c>
      <c r="C397" cm="1">
        <f t="array" ref="C397">INDEX(Optimization!$AT$4:$BW$33, INT((ROW()-1)/COLUMNS(Optimization!$AT$4:$BW$33))+1, MOD(ROW()-1, COLUMNS(Optimization!$AT$4:$BW$33))+1)</f>
        <v>0</v>
      </c>
    </row>
    <row r="398" spans="1:3" x14ac:dyDescent="0.25">
      <c r="A398">
        <v>398</v>
      </c>
      <c r="B398" cm="1">
        <f t="array" ref="B398">INDEX(Optimization!$F$4:$AI$33, INT((ROW()-1)/COLUMNS(Optimization!$F$4:$AI$33))+1, MOD(ROW()-1, COLUMNS(Optimization!$F$4:$AI$33))+1)</f>
        <v>-1.0039090708590599</v>
      </c>
      <c r="C398" cm="1">
        <f t="array" ref="C398">INDEX(Optimization!$AT$4:$BW$33, INT((ROW()-1)/COLUMNS(Optimization!$AT$4:$BW$33))+1, MOD(ROW()-1, COLUMNS(Optimization!$AT$4:$BW$33))+1)</f>
        <v>0</v>
      </c>
    </row>
    <row r="399" spans="1:3" x14ac:dyDescent="0.25">
      <c r="A399">
        <v>399</v>
      </c>
      <c r="B399" cm="1">
        <f t="array" ref="B399">INDEX(Optimization!$F$4:$AI$33, INT((ROW()-1)/COLUMNS(Optimization!$F$4:$AI$33))+1, MOD(ROW()-1, COLUMNS(Optimization!$F$4:$AI$33))+1)</f>
        <v>-0.14399246269836399</v>
      </c>
      <c r="C399" cm="1">
        <f t="array" ref="C399">INDEX(Optimization!$AT$4:$BW$33, INT((ROW()-1)/COLUMNS(Optimization!$AT$4:$BW$33))+1, MOD(ROW()-1, COLUMNS(Optimization!$AT$4:$BW$33))+1)</f>
        <v>0</v>
      </c>
    </row>
    <row r="400" spans="1:3" x14ac:dyDescent="0.25">
      <c r="A400">
        <v>400</v>
      </c>
      <c r="B400" cm="1">
        <f t="array" ref="B400">INDEX(Optimization!$F$4:$AI$33, INT((ROW()-1)/COLUMNS(Optimization!$F$4:$AI$33))+1, MOD(ROW()-1, COLUMNS(Optimization!$F$4:$AI$33))+1)</f>
        <v>1.2666451286735299E-2</v>
      </c>
      <c r="C400" cm="1">
        <f t="array" ref="C400">INDEX(Optimization!$AT$4:$BW$33, INT((ROW()-1)/COLUMNS(Optimization!$AT$4:$BW$33))+1, MOD(ROW()-1, COLUMNS(Optimization!$AT$4:$BW$33))+1)</f>
        <v>0</v>
      </c>
    </row>
    <row r="401" spans="1:3" x14ac:dyDescent="0.25">
      <c r="A401">
        <v>401</v>
      </c>
      <c r="B401" cm="1">
        <f t="array" ref="B401">INDEX(Optimization!$F$4:$AI$33, INT((ROW()-1)/COLUMNS(Optimization!$F$4:$AI$33))+1, MOD(ROW()-1, COLUMNS(Optimization!$F$4:$AI$33))+1)</f>
        <v>7.0959183281156801E-2</v>
      </c>
      <c r="C401" cm="1">
        <f t="array" ref="C401">INDEX(Optimization!$AT$4:$BW$33, INT((ROW()-1)/COLUMNS(Optimization!$AT$4:$BW$33))+1, MOD(ROW()-1, COLUMNS(Optimization!$AT$4:$BW$33))+1)</f>
        <v>0</v>
      </c>
    </row>
    <row r="402" spans="1:3" x14ac:dyDescent="0.25">
      <c r="A402">
        <v>402</v>
      </c>
      <c r="B402" cm="1">
        <f t="array" ref="B402">INDEX(Optimization!$F$4:$AI$33, INT((ROW()-1)/COLUMNS(Optimization!$F$4:$AI$33))+1, MOD(ROW()-1, COLUMNS(Optimization!$F$4:$AI$33))+1)</f>
        <v>0.61967769802916295</v>
      </c>
      <c r="C402" cm="1">
        <f t="array" ref="C402">INDEX(Optimization!$AT$4:$BW$33, INT((ROW()-1)/COLUMNS(Optimization!$AT$4:$BW$33))+1, MOD(ROW()-1, COLUMNS(Optimization!$AT$4:$BW$33))+1)</f>
        <v>0</v>
      </c>
    </row>
    <row r="403" spans="1:3" x14ac:dyDescent="0.25">
      <c r="A403">
        <v>403</v>
      </c>
      <c r="B403" cm="1">
        <f t="array" ref="B403">INDEX(Optimization!$F$4:$AI$33, INT((ROW()-1)/COLUMNS(Optimization!$F$4:$AI$33))+1, MOD(ROW()-1, COLUMNS(Optimization!$F$4:$AI$33))+1)</f>
        <v>0.49546562574534803</v>
      </c>
      <c r="C403" cm="1">
        <f t="array" ref="C403">INDEX(Optimization!$AT$4:$BW$33, INT((ROW()-1)/COLUMNS(Optimization!$AT$4:$BW$33))+1, MOD(ROW()-1, COLUMNS(Optimization!$AT$4:$BW$33))+1)</f>
        <v>0</v>
      </c>
    </row>
    <row r="404" spans="1:3" x14ac:dyDescent="0.25">
      <c r="A404">
        <v>404</v>
      </c>
      <c r="B404" cm="1">
        <f t="array" ref="B404">INDEX(Optimization!$F$4:$AI$33, INT((ROW()-1)/COLUMNS(Optimization!$F$4:$AI$33))+1, MOD(ROW()-1, COLUMNS(Optimization!$F$4:$AI$33))+1)</f>
        <v>0</v>
      </c>
      <c r="C404" cm="1">
        <f t="array" ref="C404">INDEX(Optimization!$AT$4:$BW$33, INT((ROW()-1)/COLUMNS(Optimization!$AT$4:$BW$33))+1, MOD(ROW()-1, COLUMNS(Optimization!$AT$4:$BW$33))+1)</f>
        <v>0</v>
      </c>
    </row>
    <row r="405" spans="1:3" x14ac:dyDescent="0.25">
      <c r="A405">
        <v>405</v>
      </c>
      <c r="B405" cm="1">
        <f t="array" ref="B405">INDEX(Optimization!$F$4:$AI$33, INT((ROW()-1)/COLUMNS(Optimization!$F$4:$AI$33))+1, MOD(ROW()-1, COLUMNS(Optimization!$F$4:$AI$33))+1)</f>
        <v>0.173427792720595</v>
      </c>
      <c r="C405" cm="1">
        <f t="array" ref="C405">INDEX(Optimization!$AT$4:$BW$33, INT((ROW()-1)/COLUMNS(Optimization!$AT$4:$BW$33))+1, MOD(ROW()-1, COLUMNS(Optimization!$AT$4:$BW$33))+1)</f>
        <v>0</v>
      </c>
    </row>
    <row r="406" spans="1:3" x14ac:dyDescent="0.25">
      <c r="A406">
        <v>406</v>
      </c>
      <c r="B406" cm="1">
        <f t="array" ref="B406">INDEX(Optimization!$F$4:$AI$33, INT((ROW()-1)/COLUMNS(Optimization!$F$4:$AI$33))+1, MOD(ROW()-1, COLUMNS(Optimization!$F$4:$AI$33))+1)</f>
        <v>0.141376133798053</v>
      </c>
      <c r="C406" cm="1">
        <f t="array" ref="C406">INDEX(Optimization!$AT$4:$BW$33, INT((ROW()-1)/COLUMNS(Optimization!$AT$4:$BW$33))+1, MOD(ROW()-1, COLUMNS(Optimization!$AT$4:$BW$33))+1)</f>
        <v>0</v>
      </c>
    </row>
    <row r="407" spans="1:3" x14ac:dyDescent="0.25">
      <c r="A407">
        <v>407</v>
      </c>
      <c r="B407" cm="1">
        <f t="array" ref="B407">INDEX(Optimization!$F$4:$AI$33, INT((ROW()-1)/COLUMNS(Optimization!$F$4:$AI$33))+1, MOD(ROW()-1, COLUMNS(Optimization!$F$4:$AI$33))+1)</f>
        <v>0.67590892727950602</v>
      </c>
      <c r="C407" cm="1">
        <f t="array" ref="C407">INDEX(Optimization!$AT$4:$BW$33, INT((ROW()-1)/COLUMNS(Optimization!$AT$4:$BW$33))+1, MOD(ROW()-1, COLUMNS(Optimization!$AT$4:$BW$33))+1)</f>
        <v>0</v>
      </c>
    </row>
    <row r="408" spans="1:3" x14ac:dyDescent="0.25">
      <c r="A408">
        <v>408</v>
      </c>
      <c r="B408" cm="1">
        <f t="array" ref="B408">INDEX(Optimization!$F$4:$AI$33, INT((ROW()-1)/COLUMNS(Optimization!$F$4:$AI$33))+1, MOD(ROW()-1, COLUMNS(Optimization!$F$4:$AI$33))+1)</f>
        <v>1.12958881681944E-2</v>
      </c>
      <c r="C408" cm="1">
        <f t="array" ref="C408">INDEX(Optimization!$AT$4:$BW$33, INT((ROW()-1)/COLUMNS(Optimization!$AT$4:$BW$33))+1, MOD(ROW()-1, COLUMNS(Optimization!$AT$4:$BW$33))+1)</f>
        <v>0</v>
      </c>
    </row>
    <row r="409" spans="1:3" x14ac:dyDescent="0.25">
      <c r="A409">
        <v>409</v>
      </c>
      <c r="B409" cm="1">
        <f t="array" ref="B409">INDEX(Optimization!$F$4:$AI$33, INT((ROW()-1)/COLUMNS(Optimization!$F$4:$AI$33))+1, MOD(ROW()-1, COLUMNS(Optimization!$F$4:$AI$33))+1)</f>
        <v>0.86242043911274302</v>
      </c>
      <c r="C409" cm="1">
        <f t="array" ref="C409">INDEX(Optimization!$AT$4:$BW$33, INT((ROW()-1)/COLUMNS(Optimization!$AT$4:$BW$33))+1, MOD(ROW()-1, COLUMNS(Optimization!$AT$4:$BW$33))+1)</f>
        <v>0</v>
      </c>
    </row>
    <row r="410" spans="1:3" x14ac:dyDescent="0.25">
      <c r="A410">
        <v>410</v>
      </c>
      <c r="B410" cm="1">
        <f t="array" ref="B410">INDEX(Optimization!$F$4:$AI$33, INT((ROW()-1)/COLUMNS(Optimization!$F$4:$AI$33))+1, MOD(ROW()-1, COLUMNS(Optimization!$F$4:$AI$33))+1)</f>
        <v>-6.18719720343388E-2</v>
      </c>
      <c r="C410" cm="1">
        <f t="array" ref="C410">INDEX(Optimization!$AT$4:$BW$33, INT((ROW()-1)/COLUMNS(Optimization!$AT$4:$BW$33))+1, MOD(ROW()-1, COLUMNS(Optimization!$AT$4:$BW$33))+1)</f>
        <v>0</v>
      </c>
    </row>
    <row r="411" spans="1:3" x14ac:dyDescent="0.25">
      <c r="A411">
        <v>411</v>
      </c>
      <c r="B411" cm="1">
        <f t="array" ref="B411">INDEX(Optimization!$F$4:$AI$33, INT((ROW()-1)/COLUMNS(Optimization!$F$4:$AI$33))+1, MOD(ROW()-1, COLUMNS(Optimization!$F$4:$AI$33))+1)</f>
        <v>-0.71664220904797504</v>
      </c>
      <c r="C411" cm="1">
        <f t="array" ref="C411">INDEX(Optimization!$AT$4:$BW$33, INT((ROW()-1)/COLUMNS(Optimization!$AT$4:$BW$33))+1, MOD(ROW()-1, COLUMNS(Optimization!$AT$4:$BW$33))+1)</f>
        <v>0</v>
      </c>
    </row>
    <row r="412" spans="1:3" x14ac:dyDescent="0.25">
      <c r="A412">
        <v>412</v>
      </c>
      <c r="B412" cm="1">
        <f t="array" ref="B412">INDEX(Optimization!$F$4:$AI$33, INT((ROW()-1)/COLUMNS(Optimization!$F$4:$AI$33))+1, MOD(ROW()-1, COLUMNS(Optimization!$F$4:$AI$33))+1)</f>
        <v>0.662869261614079</v>
      </c>
      <c r="C412" cm="1">
        <f t="array" ref="C412">INDEX(Optimization!$AT$4:$BW$33, INT((ROW()-1)/COLUMNS(Optimization!$AT$4:$BW$33))+1, MOD(ROW()-1, COLUMNS(Optimization!$AT$4:$BW$33))+1)</f>
        <v>0</v>
      </c>
    </row>
    <row r="413" spans="1:3" x14ac:dyDescent="0.25">
      <c r="A413">
        <v>413</v>
      </c>
      <c r="B413" cm="1">
        <f t="array" ref="B413">INDEX(Optimization!$F$4:$AI$33, INT((ROW()-1)/COLUMNS(Optimization!$F$4:$AI$33))+1, MOD(ROW()-1, COLUMNS(Optimization!$F$4:$AI$33))+1)</f>
        <v>-0.11325211731823299</v>
      </c>
      <c r="C413" cm="1">
        <f t="array" ref="C413">INDEX(Optimization!$AT$4:$BW$33, INT((ROW()-1)/COLUMNS(Optimization!$AT$4:$BW$33))+1, MOD(ROW()-1, COLUMNS(Optimization!$AT$4:$BW$33))+1)</f>
        <v>0</v>
      </c>
    </row>
    <row r="414" spans="1:3" x14ac:dyDescent="0.25">
      <c r="A414">
        <v>414</v>
      </c>
      <c r="B414" cm="1">
        <f t="array" ref="B414">INDEX(Optimization!$F$4:$AI$33, INT((ROW()-1)/COLUMNS(Optimization!$F$4:$AI$33))+1, MOD(ROW()-1, COLUMNS(Optimization!$F$4:$AI$33))+1)</f>
        <v>0.29034041954839401</v>
      </c>
      <c r="C414" cm="1">
        <f t="array" ref="C414">INDEX(Optimization!$AT$4:$BW$33, INT((ROW()-1)/COLUMNS(Optimization!$AT$4:$BW$33))+1, MOD(ROW()-1, COLUMNS(Optimization!$AT$4:$BW$33))+1)</f>
        <v>0</v>
      </c>
    </row>
    <row r="415" spans="1:3" x14ac:dyDescent="0.25">
      <c r="A415">
        <v>415</v>
      </c>
      <c r="B415" cm="1">
        <f t="array" ref="B415">INDEX(Optimization!$F$4:$AI$33, INT((ROW()-1)/COLUMNS(Optimization!$F$4:$AI$33))+1, MOD(ROW()-1, COLUMNS(Optimization!$F$4:$AI$33))+1)</f>
        <v>-0.27257046546181801</v>
      </c>
      <c r="C415" cm="1">
        <f t="array" ref="C415">INDEX(Optimization!$AT$4:$BW$33, INT((ROW()-1)/COLUMNS(Optimization!$AT$4:$BW$33))+1, MOD(ROW()-1, COLUMNS(Optimization!$AT$4:$BW$33))+1)</f>
        <v>0</v>
      </c>
    </row>
    <row r="416" spans="1:3" x14ac:dyDescent="0.25">
      <c r="A416">
        <v>416</v>
      </c>
      <c r="B416" cm="1">
        <f t="array" ref="B416">INDEX(Optimization!$F$4:$AI$33, INT((ROW()-1)/COLUMNS(Optimization!$F$4:$AI$33))+1, MOD(ROW()-1, COLUMNS(Optimization!$F$4:$AI$33))+1)</f>
        <v>1.1156978336523899</v>
      </c>
      <c r="C416" cm="1">
        <f t="array" ref="C416">INDEX(Optimization!$AT$4:$BW$33, INT((ROW()-1)/COLUMNS(Optimization!$AT$4:$BW$33))+1, MOD(ROW()-1, COLUMNS(Optimization!$AT$4:$BW$33))+1)</f>
        <v>0</v>
      </c>
    </row>
    <row r="417" spans="1:3" x14ac:dyDescent="0.25">
      <c r="A417">
        <v>417</v>
      </c>
      <c r="B417" cm="1">
        <f t="array" ref="B417">INDEX(Optimization!$F$4:$AI$33, INT((ROW()-1)/COLUMNS(Optimization!$F$4:$AI$33))+1, MOD(ROW()-1, COLUMNS(Optimization!$F$4:$AI$33))+1)</f>
        <v>-0.75834673934236996</v>
      </c>
      <c r="C417" cm="1">
        <f t="array" ref="C417">INDEX(Optimization!$AT$4:$BW$33, INT((ROW()-1)/COLUMNS(Optimization!$AT$4:$BW$33))+1, MOD(ROW()-1, COLUMNS(Optimization!$AT$4:$BW$33))+1)</f>
        <v>0</v>
      </c>
    </row>
    <row r="418" spans="1:3" x14ac:dyDescent="0.25">
      <c r="A418">
        <v>418</v>
      </c>
      <c r="B418" cm="1">
        <f t="array" ref="B418">INDEX(Optimization!$F$4:$AI$33, INT((ROW()-1)/COLUMNS(Optimization!$F$4:$AI$33))+1, MOD(ROW()-1, COLUMNS(Optimization!$F$4:$AI$33))+1)</f>
        <v>0.303110589543378</v>
      </c>
      <c r="C418" cm="1">
        <f t="array" ref="C418">INDEX(Optimization!$AT$4:$BW$33, INT((ROW()-1)/COLUMNS(Optimization!$AT$4:$BW$33))+1, MOD(ROW()-1, COLUMNS(Optimization!$AT$4:$BW$33))+1)</f>
        <v>0</v>
      </c>
    </row>
    <row r="419" spans="1:3" x14ac:dyDescent="0.25">
      <c r="A419">
        <v>419</v>
      </c>
      <c r="B419" cm="1">
        <f t="array" ref="B419">INDEX(Optimization!$F$4:$AI$33, INT((ROW()-1)/COLUMNS(Optimization!$F$4:$AI$33))+1, MOD(ROW()-1, COLUMNS(Optimization!$F$4:$AI$33))+1)</f>
        <v>-0.78797238578175399</v>
      </c>
      <c r="C419" cm="1">
        <f t="array" ref="C419">INDEX(Optimization!$AT$4:$BW$33, INT((ROW()-1)/COLUMNS(Optimization!$AT$4:$BW$33))+1, MOD(ROW()-1, COLUMNS(Optimization!$AT$4:$BW$33))+1)</f>
        <v>0</v>
      </c>
    </row>
    <row r="420" spans="1:3" x14ac:dyDescent="0.25">
      <c r="A420">
        <v>420</v>
      </c>
      <c r="B420" cm="1">
        <f t="array" ref="B420">INDEX(Optimization!$F$4:$AI$33, INT((ROW()-1)/COLUMNS(Optimization!$F$4:$AI$33))+1, MOD(ROW()-1, COLUMNS(Optimization!$F$4:$AI$33))+1)</f>
        <v>0.48684463209365397</v>
      </c>
      <c r="C420" cm="1">
        <f t="array" ref="C420">INDEX(Optimization!$AT$4:$BW$33, INT((ROW()-1)/COLUMNS(Optimization!$AT$4:$BW$33))+1, MOD(ROW()-1, COLUMNS(Optimization!$AT$4:$BW$33))+1)</f>
        <v>0</v>
      </c>
    </row>
    <row r="421" spans="1:3" x14ac:dyDescent="0.25">
      <c r="A421">
        <v>421</v>
      </c>
      <c r="B421" cm="1">
        <f t="array" ref="B421">INDEX(Optimization!$F$4:$AI$33, INT((ROW()-1)/COLUMNS(Optimization!$F$4:$AI$33))+1, MOD(ROW()-1, COLUMNS(Optimization!$F$4:$AI$33))+1)</f>
        <v>0.21735478943887299</v>
      </c>
      <c r="C421" cm="1">
        <f t="array" ref="C421">INDEX(Optimization!$AT$4:$BW$33, INT((ROW()-1)/COLUMNS(Optimization!$AT$4:$BW$33))+1, MOD(ROW()-1, COLUMNS(Optimization!$AT$4:$BW$33))+1)</f>
        <v>0</v>
      </c>
    </row>
    <row r="422" spans="1:3" x14ac:dyDescent="0.25">
      <c r="A422">
        <v>422</v>
      </c>
      <c r="B422" cm="1">
        <f t="array" ref="B422">INDEX(Optimization!$F$4:$AI$33, INT((ROW()-1)/COLUMNS(Optimization!$F$4:$AI$33))+1, MOD(ROW()-1, COLUMNS(Optimization!$F$4:$AI$33))+1)</f>
        <v>0.23868079185138599</v>
      </c>
      <c r="C422" cm="1">
        <f t="array" ref="C422">INDEX(Optimization!$AT$4:$BW$33, INT((ROW()-1)/COLUMNS(Optimization!$AT$4:$BW$33))+1, MOD(ROW()-1, COLUMNS(Optimization!$AT$4:$BW$33))+1)</f>
        <v>0</v>
      </c>
    </row>
    <row r="423" spans="1:3" x14ac:dyDescent="0.25">
      <c r="A423">
        <v>423</v>
      </c>
      <c r="B423" cm="1">
        <f t="array" ref="B423">INDEX(Optimization!$F$4:$AI$33, INT((ROW()-1)/COLUMNS(Optimization!$F$4:$AI$33))+1, MOD(ROW()-1, COLUMNS(Optimization!$F$4:$AI$33))+1)</f>
        <v>0.75447710896230202</v>
      </c>
      <c r="C423" cm="1">
        <f t="array" ref="C423">INDEX(Optimization!$AT$4:$BW$33, INT((ROW()-1)/COLUMNS(Optimization!$AT$4:$BW$33))+1, MOD(ROW()-1, COLUMNS(Optimization!$AT$4:$BW$33))+1)</f>
        <v>0</v>
      </c>
    </row>
    <row r="424" spans="1:3" x14ac:dyDescent="0.25">
      <c r="A424">
        <v>424</v>
      </c>
      <c r="B424" cm="1">
        <f t="array" ref="B424">INDEX(Optimization!$F$4:$AI$33, INT((ROW()-1)/COLUMNS(Optimization!$F$4:$AI$33))+1, MOD(ROW()-1, COLUMNS(Optimization!$F$4:$AI$33))+1)</f>
        <v>0.23542520620884799</v>
      </c>
      <c r="C424" cm="1">
        <f t="array" ref="C424">INDEX(Optimization!$AT$4:$BW$33, INT((ROW()-1)/COLUMNS(Optimization!$AT$4:$BW$33))+1, MOD(ROW()-1, COLUMNS(Optimization!$AT$4:$BW$33))+1)</f>
        <v>0</v>
      </c>
    </row>
    <row r="425" spans="1:3" x14ac:dyDescent="0.25">
      <c r="A425">
        <v>425</v>
      </c>
      <c r="B425" cm="1">
        <f t="array" ref="B425">INDEX(Optimization!$F$4:$AI$33, INT((ROW()-1)/COLUMNS(Optimization!$F$4:$AI$33))+1, MOD(ROW()-1, COLUMNS(Optimization!$F$4:$AI$33))+1)</f>
        <v>-5.1960788144622898E-2</v>
      </c>
      <c r="C425" cm="1">
        <f t="array" ref="C425">INDEX(Optimization!$AT$4:$BW$33, INT((ROW()-1)/COLUMNS(Optimization!$AT$4:$BW$33))+1, MOD(ROW()-1, COLUMNS(Optimization!$AT$4:$BW$33))+1)</f>
        <v>0</v>
      </c>
    </row>
    <row r="426" spans="1:3" x14ac:dyDescent="0.25">
      <c r="A426">
        <v>426</v>
      </c>
      <c r="B426" cm="1">
        <f t="array" ref="B426">INDEX(Optimization!$F$4:$AI$33, INT((ROW()-1)/COLUMNS(Optimization!$F$4:$AI$33))+1, MOD(ROW()-1, COLUMNS(Optimization!$F$4:$AI$33))+1)</f>
        <v>0.74087596162793001</v>
      </c>
      <c r="C426" cm="1">
        <f t="array" ref="C426">INDEX(Optimization!$AT$4:$BW$33, INT((ROW()-1)/COLUMNS(Optimization!$AT$4:$BW$33))+1, MOD(ROW()-1, COLUMNS(Optimization!$AT$4:$BW$33))+1)</f>
        <v>0</v>
      </c>
    </row>
    <row r="427" spans="1:3" x14ac:dyDescent="0.25">
      <c r="A427">
        <v>427</v>
      </c>
      <c r="B427" cm="1">
        <f t="array" ref="B427">INDEX(Optimization!$F$4:$AI$33, INT((ROW()-1)/COLUMNS(Optimization!$F$4:$AI$33))+1, MOD(ROW()-1, COLUMNS(Optimization!$F$4:$AI$33))+1)</f>
        <v>1.4558359087831001</v>
      </c>
      <c r="C427" cm="1">
        <f t="array" ref="C427">INDEX(Optimization!$AT$4:$BW$33, INT((ROW()-1)/COLUMNS(Optimization!$AT$4:$BW$33))+1, MOD(ROW()-1, COLUMNS(Optimization!$AT$4:$BW$33))+1)</f>
        <v>0</v>
      </c>
    </row>
    <row r="428" spans="1:3" x14ac:dyDescent="0.25">
      <c r="A428">
        <v>428</v>
      </c>
      <c r="B428" cm="1">
        <f t="array" ref="B428">INDEX(Optimization!$F$4:$AI$33, INT((ROW()-1)/COLUMNS(Optimization!$F$4:$AI$33))+1, MOD(ROW()-1, COLUMNS(Optimization!$F$4:$AI$33))+1)</f>
        <v>1.8875048975743401E-2</v>
      </c>
      <c r="C428" cm="1">
        <f t="array" ref="C428">INDEX(Optimization!$AT$4:$BW$33, INT((ROW()-1)/COLUMNS(Optimization!$AT$4:$BW$33))+1, MOD(ROW()-1, COLUMNS(Optimization!$AT$4:$BW$33))+1)</f>
        <v>0</v>
      </c>
    </row>
    <row r="429" spans="1:3" x14ac:dyDescent="0.25">
      <c r="A429">
        <v>429</v>
      </c>
      <c r="B429" cm="1">
        <f t="array" ref="B429">INDEX(Optimization!$F$4:$AI$33, INT((ROW()-1)/COLUMNS(Optimization!$F$4:$AI$33))+1, MOD(ROW()-1, COLUMNS(Optimization!$F$4:$AI$33))+1)</f>
        <v>-0.170076354502077</v>
      </c>
      <c r="C429" cm="1">
        <f t="array" ref="C429">INDEX(Optimization!$AT$4:$BW$33, INT((ROW()-1)/COLUMNS(Optimization!$AT$4:$BW$33))+1, MOD(ROW()-1, COLUMNS(Optimization!$AT$4:$BW$33))+1)</f>
        <v>0</v>
      </c>
    </row>
    <row r="430" spans="1:3" x14ac:dyDescent="0.25">
      <c r="A430">
        <v>430</v>
      </c>
      <c r="B430" cm="1">
        <f t="array" ref="B430">INDEX(Optimization!$F$4:$AI$33, INT((ROW()-1)/COLUMNS(Optimization!$F$4:$AI$33))+1, MOD(ROW()-1, COLUMNS(Optimization!$F$4:$AI$33))+1)</f>
        <v>0.73431284459444701</v>
      </c>
      <c r="C430" cm="1">
        <f t="array" ref="C430">INDEX(Optimization!$AT$4:$BW$33, INT((ROW()-1)/COLUMNS(Optimization!$AT$4:$BW$33))+1, MOD(ROW()-1, COLUMNS(Optimization!$AT$4:$BW$33))+1)</f>
        <v>0</v>
      </c>
    </row>
    <row r="431" spans="1:3" x14ac:dyDescent="0.25">
      <c r="A431">
        <v>431</v>
      </c>
      <c r="B431" cm="1">
        <f t="array" ref="B431">INDEX(Optimization!$F$4:$AI$33, INT((ROW()-1)/COLUMNS(Optimization!$F$4:$AI$33))+1, MOD(ROW()-1, COLUMNS(Optimization!$F$4:$AI$33))+1)</f>
        <v>-0.35866244479120901</v>
      </c>
      <c r="C431" cm="1">
        <f t="array" ref="C431">INDEX(Optimization!$AT$4:$BW$33, INT((ROW()-1)/COLUMNS(Optimization!$AT$4:$BW$33))+1, MOD(ROW()-1, COLUMNS(Optimization!$AT$4:$BW$33))+1)</f>
        <v>0</v>
      </c>
    </row>
    <row r="432" spans="1:3" x14ac:dyDescent="0.25">
      <c r="A432">
        <v>432</v>
      </c>
      <c r="B432" cm="1">
        <f t="array" ref="B432">INDEX(Optimization!$F$4:$AI$33, INT((ROW()-1)/COLUMNS(Optimization!$F$4:$AI$33))+1, MOD(ROW()-1, COLUMNS(Optimization!$F$4:$AI$33))+1)</f>
        <v>-1.0486957154844101</v>
      </c>
      <c r="C432" cm="1">
        <f t="array" ref="C432">INDEX(Optimization!$AT$4:$BW$33, INT((ROW()-1)/COLUMNS(Optimization!$AT$4:$BW$33))+1, MOD(ROW()-1, COLUMNS(Optimization!$AT$4:$BW$33))+1)</f>
        <v>0</v>
      </c>
    </row>
    <row r="433" spans="1:3" x14ac:dyDescent="0.25">
      <c r="A433">
        <v>433</v>
      </c>
      <c r="B433" cm="1">
        <f t="array" ref="B433">INDEX(Optimization!$F$4:$AI$33, INT((ROW()-1)/COLUMNS(Optimization!$F$4:$AI$33))+1, MOD(ROW()-1, COLUMNS(Optimization!$F$4:$AI$33))+1)</f>
        <v>-7.5298324920621995E-2</v>
      </c>
      <c r="C433" cm="1">
        <f t="array" ref="C433">INDEX(Optimization!$AT$4:$BW$33, INT((ROW()-1)/COLUMNS(Optimization!$AT$4:$BW$33))+1, MOD(ROW()-1, COLUMNS(Optimization!$AT$4:$BW$33))+1)</f>
        <v>0</v>
      </c>
    </row>
    <row r="434" spans="1:3" x14ac:dyDescent="0.25">
      <c r="A434">
        <v>434</v>
      </c>
      <c r="B434" cm="1">
        <f t="array" ref="B434">INDEX(Optimization!$F$4:$AI$33, INT((ROW()-1)/COLUMNS(Optimization!$F$4:$AI$33))+1, MOD(ROW()-1, COLUMNS(Optimization!$F$4:$AI$33))+1)</f>
        <v>0.173427792720595</v>
      </c>
      <c r="C434" cm="1">
        <f t="array" ref="C434">INDEX(Optimization!$AT$4:$BW$33, INT((ROW()-1)/COLUMNS(Optimization!$AT$4:$BW$33))+1, MOD(ROW()-1, COLUMNS(Optimization!$AT$4:$BW$33))+1)</f>
        <v>0</v>
      </c>
    </row>
    <row r="435" spans="1:3" x14ac:dyDescent="0.25">
      <c r="A435">
        <v>435</v>
      </c>
      <c r="B435" cm="1">
        <f t="array" ref="B435">INDEX(Optimization!$F$4:$AI$33, INT((ROW()-1)/COLUMNS(Optimization!$F$4:$AI$33))+1, MOD(ROW()-1, COLUMNS(Optimization!$F$4:$AI$33))+1)</f>
        <v>0</v>
      </c>
      <c r="C435" cm="1">
        <f t="array" ref="C435">INDEX(Optimization!$AT$4:$BW$33, INT((ROW()-1)/COLUMNS(Optimization!$AT$4:$BW$33))+1, MOD(ROW()-1, COLUMNS(Optimization!$AT$4:$BW$33))+1)</f>
        <v>0</v>
      </c>
    </row>
    <row r="436" spans="1:3" x14ac:dyDescent="0.25">
      <c r="A436">
        <v>436</v>
      </c>
      <c r="B436" cm="1">
        <f t="array" ref="B436">INDEX(Optimization!$F$4:$AI$33, INT((ROW()-1)/COLUMNS(Optimization!$F$4:$AI$33))+1, MOD(ROW()-1, COLUMNS(Optimization!$F$4:$AI$33))+1)</f>
        <v>-0.73419933934531301</v>
      </c>
      <c r="C436" cm="1">
        <f t="array" ref="C436">INDEX(Optimization!$AT$4:$BW$33, INT((ROW()-1)/COLUMNS(Optimization!$AT$4:$BW$33))+1, MOD(ROW()-1, COLUMNS(Optimization!$AT$4:$BW$33))+1)</f>
        <v>0</v>
      </c>
    </row>
    <row r="437" spans="1:3" x14ac:dyDescent="0.25">
      <c r="A437">
        <v>437</v>
      </c>
      <c r="B437" cm="1">
        <f t="array" ref="B437">INDEX(Optimization!$F$4:$AI$33, INT((ROW()-1)/COLUMNS(Optimization!$F$4:$AI$33))+1, MOD(ROW()-1, COLUMNS(Optimization!$F$4:$AI$33))+1)</f>
        <v>0.112629136288749</v>
      </c>
      <c r="C437" cm="1">
        <f t="array" ref="C437">INDEX(Optimization!$AT$4:$BW$33, INT((ROW()-1)/COLUMNS(Optimization!$AT$4:$BW$33))+1, MOD(ROW()-1, COLUMNS(Optimization!$AT$4:$BW$33))+1)</f>
        <v>0</v>
      </c>
    </row>
    <row r="438" spans="1:3" x14ac:dyDescent="0.25">
      <c r="A438">
        <v>438</v>
      </c>
      <c r="B438" cm="1">
        <f t="array" ref="B438">INDEX(Optimization!$F$4:$AI$33, INT((ROW()-1)/COLUMNS(Optimization!$F$4:$AI$33))+1, MOD(ROW()-1, COLUMNS(Optimization!$F$4:$AI$33))+1)</f>
        <v>0.78535463616605905</v>
      </c>
      <c r="C438" cm="1">
        <f t="array" ref="C438">INDEX(Optimization!$AT$4:$BW$33, INT((ROW()-1)/COLUMNS(Optimization!$AT$4:$BW$33))+1, MOD(ROW()-1, COLUMNS(Optimization!$AT$4:$BW$33))+1)</f>
        <v>0</v>
      </c>
    </row>
    <row r="439" spans="1:3" x14ac:dyDescent="0.25">
      <c r="A439">
        <v>439</v>
      </c>
      <c r="B439" cm="1">
        <f t="array" ref="B439">INDEX(Optimization!$F$4:$AI$33, INT((ROW()-1)/COLUMNS(Optimization!$F$4:$AI$33))+1, MOD(ROW()-1, COLUMNS(Optimization!$F$4:$AI$33))+1)</f>
        <v>-0.64315702867429403</v>
      </c>
      <c r="C439" cm="1">
        <f t="array" ref="C439">INDEX(Optimization!$AT$4:$BW$33, INT((ROW()-1)/COLUMNS(Optimization!$AT$4:$BW$33))+1, MOD(ROW()-1, COLUMNS(Optimization!$AT$4:$BW$33))+1)</f>
        <v>0</v>
      </c>
    </row>
    <row r="440" spans="1:3" x14ac:dyDescent="0.25">
      <c r="A440">
        <v>440</v>
      </c>
      <c r="B440" cm="1">
        <f t="array" ref="B440">INDEX(Optimization!$F$4:$AI$33, INT((ROW()-1)/COLUMNS(Optimization!$F$4:$AI$33))+1, MOD(ROW()-1, COLUMNS(Optimization!$F$4:$AI$33))+1)</f>
        <v>0.251338266530793</v>
      </c>
      <c r="C440" cm="1">
        <f t="array" ref="C440">INDEX(Optimization!$AT$4:$BW$33, INT((ROW()-1)/COLUMNS(Optimization!$AT$4:$BW$33))+1, MOD(ROW()-1, COLUMNS(Optimization!$AT$4:$BW$33))+1)</f>
        <v>0</v>
      </c>
    </row>
    <row r="441" spans="1:3" x14ac:dyDescent="0.25">
      <c r="A441">
        <v>441</v>
      </c>
      <c r="B441" cm="1">
        <f t="array" ref="B441">INDEX(Optimization!$F$4:$AI$33, INT((ROW()-1)/COLUMNS(Optimization!$F$4:$AI$33))+1, MOD(ROW()-1, COLUMNS(Optimization!$F$4:$AI$33))+1)</f>
        <v>0.178393860022203</v>
      </c>
      <c r="C441" cm="1">
        <f t="array" ref="C441">INDEX(Optimization!$AT$4:$BW$33, INT((ROW()-1)/COLUMNS(Optimization!$AT$4:$BW$33))+1, MOD(ROW()-1, COLUMNS(Optimization!$AT$4:$BW$33))+1)</f>
        <v>0</v>
      </c>
    </row>
    <row r="442" spans="1:3" x14ac:dyDescent="0.25">
      <c r="A442">
        <v>442</v>
      </c>
      <c r="B442" cm="1">
        <f t="array" ref="B442">INDEX(Optimization!$F$4:$AI$33, INT((ROW()-1)/COLUMNS(Optimization!$F$4:$AI$33))+1, MOD(ROW()-1, COLUMNS(Optimization!$F$4:$AI$33))+1)</f>
        <v>0.68889432807512196</v>
      </c>
      <c r="C442" cm="1">
        <f t="array" ref="C442">INDEX(Optimization!$AT$4:$BW$33, INT((ROW()-1)/COLUMNS(Optimization!$AT$4:$BW$33))+1, MOD(ROW()-1, COLUMNS(Optimization!$AT$4:$BW$33))+1)</f>
        <v>0</v>
      </c>
    </row>
    <row r="443" spans="1:3" x14ac:dyDescent="0.25">
      <c r="A443">
        <v>443</v>
      </c>
      <c r="B443" cm="1">
        <f t="array" ref="B443">INDEX(Optimization!$F$4:$AI$33, INT((ROW()-1)/COLUMNS(Optimization!$F$4:$AI$33))+1, MOD(ROW()-1, COLUMNS(Optimization!$F$4:$AI$33))+1)</f>
        <v>-8.0495706772421002E-2</v>
      </c>
      <c r="C443" cm="1">
        <f t="array" ref="C443">INDEX(Optimization!$AT$4:$BW$33, INT((ROW()-1)/COLUMNS(Optimization!$AT$4:$BW$33))+1, MOD(ROW()-1, COLUMNS(Optimization!$AT$4:$BW$33))+1)</f>
        <v>0</v>
      </c>
    </row>
    <row r="444" spans="1:3" x14ac:dyDescent="0.25">
      <c r="A444">
        <v>444</v>
      </c>
      <c r="B444" cm="1">
        <f t="array" ref="B444">INDEX(Optimization!$F$4:$AI$33, INT((ROW()-1)/COLUMNS(Optimization!$F$4:$AI$33))+1, MOD(ROW()-1, COLUMNS(Optimization!$F$4:$AI$33))+1)</f>
        <v>-0.85745966903321003</v>
      </c>
      <c r="C444" cm="1">
        <f t="array" ref="C444">INDEX(Optimization!$AT$4:$BW$33, INT((ROW()-1)/COLUMNS(Optimization!$AT$4:$BW$33))+1, MOD(ROW()-1, COLUMNS(Optimization!$AT$4:$BW$33))+1)</f>
        <v>0</v>
      </c>
    </row>
    <row r="445" spans="1:3" x14ac:dyDescent="0.25">
      <c r="A445">
        <v>445</v>
      </c>
      <c r="B445" cm="1">
        <f t="array" ref="B445">INDEX(Optimization!$F$4:$AI$33, INT((ROW()-1)/COLUMNS(Optimization!$F$4:$AI$33))+1, MOD(ROW()-1, COLUMNS(Optimization!$F$4:$AI$33))+1)</f>
        <v>-0.66629084509919601</v>
      </c>
      <c r="C445" cm="1">
        <f t="array" ref="C445">INDEX(Optimization!$AT$4:$BW$33, INT((ROW()-1)/COLUMNS(Optimization!$AT$4:$BW$33))+1, MOD(ROW()-1, COLUMNS(Optimization!$AT$4:$BW$33))+1)</f>
        <v>0</v>
      </c>
    </row>
    <row r="446" spans="1:3" x14ac:dyDescent="0.25">
      <c r="A446">
        <v>446</v>
      </c>
      <c r="B446" cm="1">
        <f t="array" ref="B446">INDEX(Optimization!$F$4:$AI$33, INT((ROW()-1)/COLUMNS(Optimization!$F$4:$AI$33))+1, MOD(ROW()-1, COLUMNS(Optimization!$F$4:$AI$33))+1)</f>
        <v>6.3319815001052299E-2</v>
      </c>
      <c r="C446" cm="1">
        <f t="array" ref="C446">INDEX(Optimization!$AT$4:$BW$33, INT((ROW()-1)/COLUMNS(Optimization!$AT$4:$BW$33))+1, MOD(ROW()-1, COLUMNS(Optimization!$AT$4:$BW$33))+1)</f>
        <v>0</v>
      </c>
    </row>
    <row r="447" spans="1:3" x14ac:dyDescent="0.25">
      <c r="A447">
        <v>447</v>
      </c>
      <c r="B447" cm="1">
        <f t="array" ref="B447">INDEX(Optimization!$F$4:$AI$33, INT((ROW()-1)/COLUMNS(Optimization!$F$4:$AI$33))+1, MOD(ROW()-1, COLUMNS(Optimization!$F$4:$AI$33))+1)</f>
        <v>1.28929935428528</v>
      </c>
      <c r="C447" cm="1">
        <f t="array" ref="C447">INDEX(Optimization!$AT$4:$BW$33, INT((ROW()-1)/COLUMNS(Optimization!$AT$4:$BW$33))+1, MOD(ROW()-1, COLUMNS(Optimization!$AT$4:$BW$33))+1)</f>
        <v>0</v>
      </c>
    </row>
    <row r="448" spans="1:3" x14ac:dyDescent="0.25">
      <c r="A448">
        <v>448</v>
      </c>
      <c r="B448" cm="1">
        <f t="array" ref="B448">INDEX(Optimization!$F$4:$AI$33, INT((ROW()-1)/COLUMNS(Optimization!$F$4:$AI$33))+1, MOD(ROW()-1, COLUMNS(Optimization!$F$4:$AI$33))+1)</f>
        <v>-0.93663854109233902</v>
      </c>
      <c r="C448" cm="1">
        <f t="array" ref="C448">INDEX(Optimization!$AT$4:$BW$33, INT((ROW()-1)/COLUMNS(Optimization!$AT$4:$BW$33))+1, MOD(ROW()-1, COLUMNS(Optimization!$AT$4:$BW$33))+1)</f>
        <v>0</v>
      </c>
    </row>
    <row r="449" spans="1:3" x14ac:dyDescent="0.25">
      <c r="A449">
        <v>449</v>
      </c>
      <c r="B449" cm="1">
        <f t="array" ref="B449">INDEX(Optimization!$F$4:$AI$33, INT((ROW()-1)/COLUMNS(Optimization!$F$4:$AI$33))+1, MOD(ROW()-1, COLUMNS(Optimization!$F$4:$AI$33))+1)</f>
        <v>-1.2062315970900299</v>
      </c>
      <c r="C449" cm="1">
        <f t="array" ref="C449">INDEX(Optimization!$AT$4:$BW$33, INT((ROW()-1)/COLUMNS(Optimization!$AT$4:$BW$33))+1, MOD(ROW()-1, COLUMNS(Optimization!$AT$4:$BW$33))+1)</f>
        <v>0</v>
      </c>
    </row>
    <row r="450" spans="1:3" x14ac:dyDescent="0.25">
      <c r="A450">
        <v>450</v>
      </c>
      <c r="B450" cm="1">
        <f t="array" ref="B450">INDEX(Optimization!$F$4:$AI$33, INT((ROW()-1)/COLUMNS(Optimization!$F$4:$AI$33))+1, MOD(ROW()-1, COLUMNS(Optimization!$F$4:$AI$33))+1)</f>
        <v>1.1212400782956</v>
      </c>
      <c r="C450" cm="1">
        <f t="array" ref="C450">INDEX(Optimization!$AT$4:$BW$33, INT((ROW()-1)/COLUMNS(Optimization!$AT$4:$BW$33))+1, MOD(ROW()-1, COLUMNS(Optimization!$AT$4:$BW$33))+1)</f>
        <v>0</v>
      </c>
    </row>
    <row r="451" spans="1:3" x14ac:dyDescent="0.25">
      <c r="A451">
        <v>451</v>
      </c>
      <c r="B451" cm="1">
        <f t="array" ref="B451">INDEX(Optimization!$F$4:$AI$33, INT((ROW()-1)/COLUMNS(Optimization!$F$4:$AI$33))+1, MOD(ROW()-1, COLUMNS(Optimization!$F$4:$AI$33))+1)</f>
        <v>-0.74091371752017399</v>
      </c>
      <c r="C451" cm="1">
        <f t="array" ref="C451">INDEX(Optimization!$AT$4:$BW$33, INT((ROW()-1)/COLUMNS(Optimization!$AT$4:$BW$33))+1, MOD(ROW()-1, COLUMNS(Optimization!$AT$4:$BW$33))+1)</f>
        <v>0</v>
      </c>
    </row>
    <row r="452" spans="1:3" x14ac:dyDescent="0.25">
      <c r="A452">
        <v>452</v>
      </c>
      <c r="B452" cm="1">
        <f t="array" ref="B452">INDEX(Optimization!$F$4:$AI$33, INT((ROW()-1)/COLUMNS(Optimization!$F$4:$AI$33))+1, MOD(ROW()-1, COLUMNS(Optimization!$F$4:$AI$33))+1)</f>
        <v>-0.51998536791433203</v>
      </c>
      <c r="C452" cm="1">
        <f t="array" ref="C452">INDEX(Optimization!$AT$4:$BW$33, INT((ROW()-1)/COLUMNS(Optimization!$AT$4:$BW$33))+1, MOD(ROW()-1, COLUMNS(Optimization!$AT$4:$BW$33))+1)</f>
        <v>0</v>
      </c>
    </row>
    <row r="453" spans="1:3" x14ac:dyDescent="0.25">
      <c r="A453">
        <v>453</v>
      </c>
      <c r="B453" cm="1">
        <f t="array" ref="B453">INDEX(Optimization!$F$4:$AI$33, INT((ROW()-1)/COLUMNS(Optimization!$F$4:$AI$33))+1, MOD(ROW()-1, COLUMNS(Optimization!$F$4:$AI$33))+1)</f>
        <v>-0.95923461186473602</v>
      </c>
      <c r="C453" cm="1">
        <f t="array" ref="C453">INDEX(Optimization!$AT$4:$BW$33, INT((ROW()-1)/COLUMNS(Optimization!$AT$4:$BW$33))+1, MOD(ROW()-1, COLUMNS(Optimization!$AT$4:$BW$33))+1)</f>
        <v>0</v>
      </c>
    </row>
    <row r="454" spans="1:3" x14ac:dyDescent="0.25">
      <c r="A454">
        <v>454</v>
      </c>
      <c r="B454" cm="1">
        <f t="array" ref="B454">INDEX(Optimization!$F$4:$AI$33, INT((ROW()-1)/COLUMNS(Optimization!$F$4:$AI$33))+1, MOD(ROW()-1, COLUMNS(Optimization!$F$4:$AI$33))+1)</f>
        <v>0.51518780315552404</v>
      </c>
      <c r="C454" cm="1">
        <f t="array" ref="C454">INDEX(Optimization!$AT$4:$BW$33, INT((ROW()-1)/COLUMNS(Optimization!$AT$4:$BW$33))+1, MOD(ROW()-1, COLUMNS(Optimization!$AT$4:$BW$33))+1)</f>
        <v>0</v>
      </c>
    </row>
    <row r="455" spans="1:3" x14ac:dyDescent="0.25">
      <c r="A455">
        <v>455</v>
      </c>
      <c r="B455" cm="1">
        <f t="array" ref="B455">INDEX(Optimization!$F$4:$AI$33, INT((ROW()-1)/COLUMNS(Optimization!$F$4:$AI$33))+1, MOD(ROW()-1, COLUMNS(Optimization!$F$4:$AI$33))+1)</f>
        <v>0.42934594206565901</v>
      </c>
      <c r="C455" cm="1">
        <f t="array" ref="C455">INDEX(Optimization!$AT$4:$BW$33, INT((ROW()-1)/COLUMNS(Optimization!$AT$4:$BW$33))+1, MOD(ROW()-1, COLUMNS(Optimization!$AT$4:$BW$33))+1)</f>
        <v>0</v>
      </c>
    </row>
    <row r="456" spans="1:3" x14ac:dyDescent="0.25">
      <c r="A456">
        <v>456</v>
      </c>
      <c r="B456" cm="1">
        <f t="array" ref="B456">INDEX(Optimization!$F$4:$AI$33, INT((ROW()-1)/COLUMNS(Optimization!$F$4:$AI$33))+1, MOD(ROW()-1, COLUMNS(Optimization!$F$4:$AI$33))+1)</f>
        <v>-0.58568621242403995</v>
      </c>
      <c r="C456" cm="1">
        <f t="array" ref="C456">INDEX(Optimization!$AT$4:$BW$33, INT((ROW()-1)/COLUMNS(Optimization!$AT$4:$BW$33))+1, MOD(ROW()-1, COLUMNS(Optimization!$AT$4:$BW$33))+1)</f>
        <v>0</v>
      </c>
    </row>
    <row r="457" spans="1:3" x14ac:dyDescent="0.25">
      <c r="A457">
        <v>457</v>
      </c>
      <c r="B457" cm="1">
        <f t="array" ref="B457">INDEX(Optimization!$F$4:$AI$33, INT((ROW()-1)/COLUMNS(Optimization!$F$4:$AI$33))+1, MOD(ROW()-1, COLUMNS(Optimization!$F$4:$AI$33))+1)</f>
        <v>2.04187285757471</v>
      </c>
      <c r="C457" cm="1">
        <f t="array" ref="C457">INDEX(Optimization!$AT$4:$BW$33, INT((ROW()-1)/COLUMNS(Optimization!$AT$4:$BW$33))+1, MOD(ROW()-1, COLUMNS(Optimization!$AT$4:$BW$33))+1)</f>
        <v>0</v>
      </c>
    </row>
    <row r="458" spans="1:3" x14ac:dyDescent="0.25">
      <c r="A458">
        <v>458</v>
      </c>
      <c r="B458" cm="1">
        <f t="array" ref="B458">INDEX(Optimization!$F$4:$AI$33, INT((ROW()-1)/COLUMNS(Optimization!$F$4:$AI$33))+1, MOD(ROW()-1, COLUMNS(Optimization!$F$4:$AI$33))+1)</f>
        <v>0.64992688059927595</v>
      </c>
      <c r="C458" cm="1">
        <f t="array" ref="C458">INDEX(Optimization!$AT$4:$BW$33, INT((ROW()-1)/COLUMNS(Optimization!$AT$4:$BW$33))+1, MOD(ROW()-1, COLUMNS(Optimization!$AT$4:$BW$33))+1)</f>
        <v>0</v>
      </c>
    </row>
    <row r="459" spans="1:3" x14ac:dyDescent="0.25">
      <c r="A459">
        <v>459</v>
      </c>
      <c r="B459" cm="1">
        <f t="array" ref="B459">INDEX(Optimization!$F$4:$AI$33, INT((ROW()-1)/COLUMNS(Optimization!$F$4:$AI$33))+1, MOD(ROW()-1, COLUMNS(Optimization!$F$4:$AI$33))+1)</f>
        <v>0.28693618067216697</v>
      </c>
      <c r="C459" cm="1">
        <f t="array" ref="C459">INDEX(Optimization!$AT$4:$BW$33, INT((ROW()-1)/COLUMNS(Optimization!$AT$4:$BW$33))+1, MOD(ROW()-1, COLUMNS(Optimization!$AT$4:$BW$33))+1)</f>
        <v>0</v>
      </c>
    </row>
    <row r="460" spans="1:3" x14ac:dyDescent="0.25">
      <c r="A460">
        <v>460</v>
      </c>
      <c r="B460" cm="1">
        <f t="array" ref="B460">INDEX(Optimization!$F$4:$AI$33, INT((ROW()-1)/COLUMNS(Optimization!$F$4:$AI$33))+1, MOD(ROW()-1, COLUMNS(Optimization!$F$4:$AI$33))+1)</f>
        <v>1.35494662381402</v>
      </c>
      <c r="C460" cm="1">
        <f t="array" ref="C460">INDEX(Optimization!$AT$4:$BW$33, INT((ROW()-1)/COLUMNS(Optimization!$AT$4:$BW$33))+1, MOD(ROW()-1, COLUMNS(Optimization!$AT$4:$BW$33))+1)</f>
        <v>0</v>
      </c>
    </row>
    <row r="461" spans="1:3" x14ac:dyDescent="0.25">
      <c r="A461">
        <v>461</v>
      </c>
      <c r="B461" cm="1">
        <f t="array" ref="B461">INDEX(Optimization!$F$4:$AI$33, INT((ROW()-1)/COLUMNS(Optimization!$F$4:$AI$33))+1, MOD(ROW()-1, COLUMNS(Optimization!$F$4:$AI$33))+1)</f>
        <v>-1.7364333381667201</v>
      </c>
      <c r="C461" cm="1">
        <f t="array" ref="C461">INDEX(Optimization!$AT$4:$BW$33, INT((ROW()-1)/COLUMNS(Optimization!$AT$4:$BW$33))+1, MOD(ROW()-1, COLUMNS(Optimization!$AT$4:$BW$33))+1)</f>
        <v>0</v>
      </c>
    </row>
    <row r="462" spans="1:3" x14ac:dyDescent="0.25">
      <c r="A462">
        <v>462</v>
      </c>
      <c r="B462" cm="1">
        <f t="array" ref="B462">INDEX(Optimization!$F$4:$AI$33, INT((ROW()-1)/COLUMNS(Optimization!$F$4:$AI$33))+1, MOD(ROW()-1, COLUMNS(Optimization!$F$4:$AI$33))+1)</f>
        <v>-6.4391555010141197E-2</v>
      </c>
      <c r="C462" cm="1">
        <f t="array" ref="C462">INDEX(Optimization!$AT$4:$BW$33, INT((ROW()-1)/COLUMNS(Optimization!$AT$4:$BW$33))+1, MOD(ROW()-1, COLUMNS(Optimization!$AT$4:$BW$33))+1)</f>
        <v>0</v>
      </c>
    </row>
    <row r="463" spans="1:3" x14ac:dyDescent="0.25">
      <c r="A463">
        <v>463</v>
      </c>
      <c r="B463" cm="1">
        <f t="array" ref="B463">INDEX(Optimization!$F$4:$AI$33, INT((ROW()-1)/COLUMNS(Optimization!$F$4:$AI$33))+1, MOD(ROW()-1, COLUMNS(Optimization!$F$4:$AI$33))+1)</f>
        <v>-1.74514281011281E-2</v>
      </c>
      <c r="C463" cm="1">
        <f t="array" ref="C463">INDEX(Optimization!$AT$4:$BW$33, INT((ROW()-1)/COLUMNS(Optimization!$AT$4:$BW$33))+1, MOD(ROW()-1, COLUMNS(Optimization!$AT$4:$BW$33))+1)</f>
        <v>0</v>
      </c>
    </row>
    <row r="464" spans="1:3" x14ac:dyDescent="0.25">
      <c r="A464">
        <v>464</v>
      </c>
      <c r="B464" cm="1">
        <f t="array" ref="B464">INDEX(Optimization!$F$4:$AI$33, INT((ROW()-1)/COLUMNS(Optimization!$F$4:$AI$33))+1, MOD(ROW()-1, COLUMNS(Optimization!$F$4:$AI$33))+1)</f>
        <v>0.141376133798053</v>
      </c>
      <c r="C464" cm="1">
        <f t="array" ref="C464">INDEX(Optimization!$AT$4:$BW$33, INT((ROW()-1)/COLUMNS(Optimization!$AT$4:$BW$33))+1, MOD(ROW()-1, COLUMNS(Optimization!$AT$4:$BW$33))+1)</f>
        <v>0</v>
      </c>
    </row>
    <row r="465" spans="1:3" x14ac:dyDescent="0.25">
      <c r="A465">
        <v>465</v>
      </c>
      <c r="B465" cm="1">
        <f t="array" ref="B465">INDEX(Optimization!$F$4:$AI$33, INT((ROW()-1)/COLUMNS(Optimization!$F$4:$AI$33))+1, MOD(ROW()-1, COLUMNS(Optimization!$F$4:$AI$33))+1)</f>
        <v>-0.73419933934531301</v>
      </c>
      <c r="C465" cm="1">
        <f t="array" ref="C465">INDEX(Optimization!$AT$4:$BW$33, INT((ROW()-1)/COLUMNS(Optimization!$AT$4:$BW$33))+1, MOD(ROW()-1, COLUMNS(Optimization!$AT$4:$BW$33))+1)</f>
        <v>0</v>
      </c>
    </row>
    <row r="466" spans="1:3" x14ac:dyDescent="0.25">
      <c r="A466">
        <v>466</v>
      </c>
      <c r="B466" cm="1">
        <f t="array" ref="B466">INDEX(Optimization!$F$4:$AI$33, INT((ROW()-1)/COLUMNS(Optimization!$F$4:$AI$33))+1, MOD(ROW()-1, COLUMNS(Optimization!$F$4:$AI$33))+1)</f>
        <v>0</v>
      </c>
      <c r="C466" cm="1">
        <f t="array" ref="C466">INDEX(Optimization!$AT$4:$BW$33, INT((ROW()-1)/COLUMNS(Optimization!$AT$4:$BW$33))+1, MOD(ROW()-1, COLUMNS(Optimization!$AT$4:$BW$33))+1)</f>
        <v>0</v>
      </c>
    </row>
    <row r="467" spans="1:3" x14ac:dyDescent="0.25">
      <c r="A467">
        <v>467</v>
      </c>
      <c r="B467" cm="1">
        <f t="array" ref="B467">INDEX(Optimization!$F$4:$AI$33, INT((ROW()-1)/COLUMNS(Optimization!$F$4:$AI$33))+1, MOD(ROW()-1, COLUMNS(Optimization!$F$4:$AI$33))+1)</f>
        <v>0.17320001317304701</v>
      </c>
      <c r="C467" cm="1">
        <f t="array" ref="C467">INDEX(Optimization!$AT$4:$BW$33, INT((ROW()-1)/COLUMNS(Optimization!$AT$4:$BW$33))+1, MOD(ROW()-1, COLUMNS(Optimization!$AT$4:$BW$33))+1)</f>
        <v>0</v>
      </c>
    </row>
    <row r="468" spans="1:3" x14ac:dyDescent="0.25">
      <c r="A468">
        <v>468</v>
      </c>
      <c r="B468" cm="1">
        <f t="array" ref="B468">INDEX(Optimization!$F$4:$AI$33, INT((ROW()-1)/COLUMNS(Optimization!$F$4:$AI$33))+1, MOD(ROW()-1, COLUMNS(Optimization!$F$4:$AI$33))+1)</f>
        <v>-0.17633397007684301</v>
      </c>
      <c r="C468" cm="1">
        <f t="array" ref="C468">INDEX(Optimization!$AT$4:$BW$33, INT((ROW()-1)/COLUMNS(Optimization!$AT$4:$BW$33))+1, MOD(ROW()-1, COLUMNS(Optimization!$AT$4:$BW$33))+1)</f>
        <v>0</v>
      </c>
    </row>
    <row r="469" spans="1:3" x14ac:dyDescent="0.25">
      <c r="A469">
        <v>469</v>
      </c>
      <c r="B469" cm="1">
        <f t="array" ref="B469">INDEX(Optimization!$F$4:$AI$33, INT((ROW()-1)/COLUMNS(Optimization!$F$4:$AI$33))+1, MOD(ROW()-1, COLUMNS(Optimization!$F$4:$AI$33))+1)</f>
        <v>0.14423326121792701</v>
      </c>
      <c r="C469" cm="1">
        <f t="array" ref="C469">INDEX(Optimization!$AT$4:$BW$33, INT((ROW()-1)/COLUMNS(Optimization!$AT$4:$BW$33))+1, MOD(ROW()-1, COLUMNS(Optimization!$AT$4:$BW$33))+1)</f>
        <v>0</v>
      </c>
    </row>
    <row r="470" spans="1:3" x14ac:dyDescent="0.25">
      <c r="A470">
        <v>470</v>
      </c>
      <c r="B470" cm="1">
        <f t="array" ref="B470">INDEX(Optimization!$F$4:$AI$33, INT((ROW()-1)/COLUMNS(Optimization!$F$4:$AI$33))+1, MOD(ROW()-1, COLUMNS(Optimization!$F$4:$AI$33))+1)</f>
        <v>-0.52547843377165404</v>
      </c>
      <c r="C470" cm="1">
        <f t="array" ref="C470">INDEX(Optimization!$AT$4:$BW$33, INT((ROW()-1)/COLUMNS(Optimization!$AT$4:$BW$33))+1, MOD(ROW()-1, COLUMNS(Optimization!$AT$4:$BW$33))+1)</f>
        <v>0</v>
      </c>
    </row>
    <row r="471" spans="1:3" x14ac:dyDescent="0.25">
      <c r="A471">
        <v>471</v>
      </c>
      <c r="B471" cm="1">
        <f t="array" ref="B471">INDEX(Optimization!$F$4:$AI$33, INT((ROW()-1)/COLUMNS(Optimization!$F$4:$AI$33))+1, MOD(ROW()-1, COLUMNS(Optimization!$F$4:$AI$33))+1)</f>
        <v>0.37023073489536501</v>
      </c>
      <c r="C471" cm="1">
        <f t="array" ref="C471">INDEX(Optimization!$AT$4:$BW$33, INT((ROW()-1)/COLUMNS(Optimization!$AT$4:$BW$33))+1, MOD(ROW()-1, COLUMNS(Optimization!$AT$4:$BW$33))+1)</f>
        <v>0</v>
      </c>
    </row>
    <row r="472" spans="1:3" x14ac:dyDescent="0.25">
      <c r="A472">
        <v>472</v>
      </c>
      <c r="B472" cm="1">
        <f t="array" ref="B472">INDEX(Optimization!$F$4:$AI$33, INT((ROW()-1)/COLUMNS(Optimization!$F$4:$AI$33))+1, MOD(ROW()-1, COLUMNS(Optimization!$F$4:$AI$33))+1)</f>
        <v>-1.49830551789533</v>
      </c>
      <c r="C472" cm="1">
        <f t="array" ref="C472">INDEX(Optimization!$AT$4:$BW$33, INT((ROW()-1)/COLUMNS(Optimization!$AT$4:$BW$33))+1, MOD(ROW()-1, COLUMNS(Optimization!$AT$4:$BW$33))+1)</f>
        <v>0</v>
      </c>
    </row>
    <row r="473" spans="1:3" x14ac:dyDescent="0.25">
      <c r="A473">
        <v>473</v>
      </c>
      <c r="B473" cm="1">
        <f t="array" ref="B473">INDEX(Optimization!$F$4:$AI$33, INT((ROW()-1)/COLUMNS(Optimization!$F$4:$AI$33))+1, MOD(ROW()-1, COLUMNS(Optimization!$F$4:$AI$33))+1)</f>
        <v>1.3697550476018201</v>
      </c>
      <c r="C473" cm="1">
        <f t="array" ref="C473">INDEX(Optimization!$AT$4:$BW$33, INT((ROW()-1)/COLUMNS(Optimization!$AT$4:$BW$33))+1, MOD(ROW()-1, COLUMNS(Optimization!$AT$4:$BW$33))+1)</f>
        <v>0</v>
      </c>
    </row>
    <row r="474" spans="1:3" x14ac:dyDescent="0.25">
      <c r="A474">
        <v>474</v>
      </c>
      <c r="B474" cm="1">
        <f t="array" ref="B474">INDEX(Optimization!$F$4:$AI$33, INT((ROW()-1)/COLUMNS(Optimization!$F$4:$AI$33))+1, MOD(ROW()-1, COLUMNS(Optimization!$F$4:$AI$33))+1)</f>
        <v>-0.40569876210836198</v>
      </c>
      <c r="C474" cm="1">
        <f t="array" ref="C474">INDEX(Optimization!$AT$4:$BW$33, INT((ROW()-1)/COLUMNS(Optimization!$AT$4:$BW$33))+1, MOD(ROW()-1, COLUMNS(Optimization!$AT$4:$BW$33))+1)</f>
        <v>0</v>
      </c>
    </row>
    <row r="475" spans="1:3" x14ac:dyDescent="0.25">
      <c r="A475">
        <v>475</v>
      </c>
      <c r="B475" cm="1">
        <f t="array" ref="B475">INDEX(Optimization!$F$4:$AI$33, INT((ROW()-1)/COLUMNS(Optimization!$F$4:$AI$33))+1, MOD(ROW()-1, COLUMNS(Optimization!$F$4:$AI$33))+1)</f>
        <v>-0.47642953027695001</v>
      </c>
      <c r="C475" cm="1">
        <f t="array" ref="C475">INDEX(Optimization!$AT$4:$BW$33, INT((ROW()-1)/COLUMNS(Optimization!$AT$4:$BW$33))+1, MOD(ROW()-1, COLUMNS(Optimization!$AT$4:$BW$33))+1)</f>
        <v>0</v>
      </c>
    </row>
    <row r="476" spans="1:3" x14ac:dyDescent="0.25">
      <c r="A476">
        <v>476</v>
      </c>
      <c r="B476" cm="1">
        <f t="array" ref="B476">INDEX(Optimization!$F$4:$AI$33, INT((ROW()-1)/COLUMNS(Optimization!$F$4:$AI$33))+1, MOD(ROW()-1, COLUMNS(Optimization!$F$4:$AI$33))+1)</f>
        <v>-0.47587136230315502</v>
      </c>
      <c r="C476" cm="1">
        <f t="array" ref="C476">INDEX(Optimization!$AT$4:$BW$33, INT((ROW()-1)/COLUMNS(Optimization!$AT$4:$BW$33))+1, MOD(ROW()-1, COLUMNS(Optimization!$AT$4:$BW$33))+1)</f>
        <v>0</v>
      </c>
    </row>
    <row r="477" spans="1:3" x14ac:dyDescent="0.25">
      <c r="A477">
        <v>477</v>
      </c>
      <c r="B477" cm="1">
        <f t="array" ref="B477">INDEX(Optimization!$F$4:$AI$33, INT((ROW()-1)/COLUMNS(Optimization!$F$4:$AI$33))+1, MOD(ROW()-1, COLUMNS(Optimization!$F$4:$AI$33))+1)</f>
        <v>-0.85448844832460302</v>
      </c>
      <c r="C477" cm="1">
        <f t="array" ref="C477">INDEX(Optimization!$AT$4:$BW$33, INT((ROW()-1)/COLUMNS(Optimization!$AT$4:$BW$33))+1, MOD(ROW()-1, COLUMNS(Optimization!$AT$4:$BW$33))+1)</f>
        <v>0</v>
      </c>
    </row>
    <row r="478" spans="1:3" x14ac:dyDescent="0.25">
      <c r="A478">
        <v>478</v>
      </c>
      <c r="B478" cm="1">
        <f t="array" ref="B478">INDEX(Optimization!$F$4:$AI$33, INT((ROW()-1)/COLUMNS(Optimization!$F$4:$AI$33))+1, MOD(ROW()-1, COLUMNS(Optimization!$F$4:$AI$33))+1)</f>
        <v>7.76555415951279E-2</v>
      </c>
      <c r="C478" cm="1">
        <f t="array" ref="C478">INDEX(Optimization!$AT$4:$BW$33, INT((ROW()-1)/COLUMNS(Optimization!$AT$4:$BW$33))+1, MOD(ROW()-1, COLUMNS(Optimization!$AT$4:$BW$33))+1)</f>
        <v>0</v>
      </c>
    </row>
    <row r="479" spans="1:3" x14ac:dyDescent="0.25">
      <c r="A479">
        <v>479</v>
      </c>
      <c r="B479" cm="1">
        <f t="array" ref="B479">INDEX(Optimization!$F$4:$AI$33, INT((ROW()-1)/COLUMNS(Optimization!$F$4:$AI$33))+1, MOD(ROW()-1, COLUMNS(Optimization!$F$4:$AI$33))+1)</f>
        <v>0.46751238069171103</v>
      </c>
      <c r="C479" cm="1">
        <f t="array" ref="C479">INDEX(Optimization!$AT$4:$BW$33, INT((ROW()-1)/COLUMNS(Optimization!$AT$4:$BW$33))+1, MOD(ROW()-1, COLUMNS(Optimization!$AT$4:$BW$33))+1)</f>
        <v>0</v>
      </c>
    </row>
    <row r="480" spans="1:3" x14ac:dyDescent="0.25">
      <c r="A480">
        <v>480</v>
      </c>
      <c r="B480" cm="1">
        <f t="array" ref="B480">INDEX(Optimization!$F$4:$AI$33, INT((ROW()-1)/COLUMNS(Optimization!$F$4:$AI$33))+1, MOD(ROW()-1, COLUMNS(Optimization!$F$4:$AI$33))+1)</f>
        <v>0.88400994210606498</v>
      </c>
      <c r="C480" cm="1">
        <f t="array" ref="C480">INDEX(Optimization!$AT$4:$BW$33, INT((ROW()-1)/COLUMNS(Optimization!$AT$4:$BW$33))+1, MOD(ROW()-1, COLUMNS(Optimization!$AT$4:$BW$33))+1)</f>
        <v>0</v>
      </c>
    </row>
    <row r="481" spans="1:3" x14ac:dyDescent="0.25">
      <c r="A481">
        <v>481</v>
      </c>
      <c r="B481" cm="1">
        <f t="array" ref="B481">INDEX(Optimization!$F$4:$AI$33, INT((ROW()-1)/COLUMNS(Optimization!$F$4:$AI$33))+1, MOD(ROW()-1, COLUMNS(Optimization!$F$4:$AI$33))+1)</f>
        <v>1.18553095114982</v>
      </c>
      <c r="C481" cm="1">
        <f t="array" ref="C481">INDEX(Optimization!$AT$4:$BW$33, INT((ROW()-1)/COLUMNS(Optimization!$AT$4:$BW$33))+1, MOD(ROW()-1, COLUMNS(Optimization!$AT$4:$BW$33))+1)</f>
        <v>0</v>
      </c>
    </row>
    <row r="482" spans="1:3" x14ac:dyDescent="0.25">
      <c r="A482">
        <v>482</v>
      </c>
      <c r="B482" cm="1">
        <f t="array" ref="B482">INDEX(Optimization!$F$4:$AI$33, INT((ROW()-1)/COLUMNS(Optimization!$F$4:$AI$33))+1, MOD(ROW()-1, COLUMNS(Optimization!$F$4:$AI$33))+1)</f>
        <v>0.82943828868754499</v>
      </c>
      <c r="C482" cm="1">
        <f t="array" ref="C482">INDEX(Optimization!$AT$4:$BW$33, INT((ROW()-1)/COLUMNS(Optimization!$AT$4:$BW$33))+1, MOD(ROW()-1, COLUMNS(Optimization!$AT$4:$BW$33))+1)</f>
        <v>0</v>
      </c>
    </row>
    <row r="483" spans="1:3" x14ac:dyDescent="0.25">
      <c r="A483">
        <v>483</v>
      </c>
      <c r="B483" cm="1">
        <f t="array" ref="B483">INDEX(Optimization!$F$4:$AI$33, INT((ROW()-1)/COLUMNS(Optimization!$F$4:$AI$33))+1, MOD(ROW()-1, COLUMNS(Optimization!$F$4:$AI$33))+1)</f>
        <v>-0.133686537214321</v>
      </c>
      <c r="C483" cm="1">
        <f t="array" ref="C483">INDEX(Optimization!$AT$4:$BW$33, INT((ROW()-1)/COLUMNS(Optimization!$AT$4:$BW$33))+1, MOD(ROW()-1, COLUMNS(Optimization!$AT$4:$BW$33))+1)</f>
        <v>0</v>
      </c>
    </row>
    <row r="484" spans="1:3" x14ac:dyDescent="0.25">
      <c r="A484">
        <v>484</v>
      </c>
      <c r="B484" cm="1">
        <f t="array" ref="B484">INDEX(Optimization!$F$4:$AI$33, INT((ROW()-1)/COLUMNS(Optimization!$F$4:$AI$33))+1, MOD(ROW()-1, COLUMNS(Optimization!$F$4:$AI$33))+1)</f>
        <v>6.1216103023294798E-2</v>
      </c>
      <c r="C484" cm="1">
        <f t="array" ref="C484">INDEX(Optimization!$AT$4:$BW$33, INT((ROW()-1)/COLUMNS(Optimization!$AT$4:$BW$33))+1, MOD(ROW()-1, COLUMNS(Optimization!$AT$4:$BW$33))+1)</f>
        <v>0</v>
      </c>
    </row>
    <row r="485" spans="1:3" x14ac:dyDescent="0.25">
      <c r="A485">
        <v>485</v>
      </c>
      <c r="B485" cm="1">
        <f t="array" ref="B485">INDEX(Optimization!$F$4:$AI$33, INT((ROW()-1)/COLUMNS(Optimization!$F$4:$AI$33))+1, MOD(ROW()-1, COLUMNS(Optimization!$F$4:$AI$33))+1)</f>
        <v>1.06954150457034</v>
      </c>
      <c r="C485" cm="1">
        <f t="array" ref="C485">INDEX(Optimization!$AT$4:$BW$33, INT((ROW()-1)/COLUMNS(Optimization!$AT$4:$BW$33))+1, MOD(ROW()-1, COLUMNS(Optimization!$AT$4:$BW$33))+1)</f>
        <v>0</v>
      </c>
    </row>
    <row r="486" spans="1:3" x14ac:dyDescent="0.25">
      <c r="A486">
        <v>486</v>
      </c>
      <c r="B486" cm="1">
        <f t="array" ref="B486">INDEX(Optimization!$F$4:$AI$33, INT((ROW()-1)/COLUMNS(Optimization!$F$4:$AI$33))+1, MOD(ROW()-1, COLUMNS(Optimization!$F$4:$AI$33))+1)</f>
        <v>1.26803388674307</v>
      </c>
      <c r="C486" cm="1">
        <f t="array" ref="C486">INDEX(Optimization!$AT$4:$BW$33, INT((ROW()-1)/COLUMNS(Optimization!$AT$4:$BW$33))+1, MOD(ROW()-1, COLUMNS(Optimization!$AT$4:$BW$33))+1)</f>
        <v>0</v>
      </c>
    </row>
    <row r="487" spans="1:3" x14ac:dyDescent="0.25">
      <c r="A487">
        <v>487</v>
      </c>
      <c r="B487" cm="1">
        <f t="array" ref="B487">INDEX(Optimization!$F$4:$AI$33, INT((ROW()-1)/COLUMNS(Optimization!$F$4:$AI$33))+1, MOD(ROW()-1, COLUMNS(Optimization!$F$4:$AI$33))+1)</f>
        <v>0.77967046388979</v>
      </c>
      <c r="C487" cm="1">
        <f t="array" ref="C487">INDEX(Optimization!$AT$4:$BW$33, INT((ROW()-1)/COLUMNS(Optimization!$AT$4:$BW$33))+1, MOD(ROW()-1, COLUMNS(Optimization!$AT$4:$BW$33))+1)</f>
        <v>0</v>
      </c>
    </row>
    <row r="488" spans="1:3" x14ac:dyDescent="0.25">
      <c r="A488">
        <v>488</v>
      </c>
      <c r="B488" cm="1">
        <f t="array" ref="B488">INDEX(Optimization!$F$4:$AI$33, INT((ROW()-1)/COLUMNS(Optimization!$F$4:$AI$33))+1, MOD(ROW()-1, COLUMNS(Optimization!$F$4:$AI$33))+1)</f>
        <v>-0.23040894545995499</v>
      </c>
      <c r="C488" cm="1">
        <f t="array" ref="C488">INDEX(Optimization!$AT$4:$BW$33, INT((ROW()-1)/COLUMNS(Optimization!$AT$4:$BW$33))+1, MOD(ROW()-1, COLUMNS(Optimization!$AT$4:$BW$33))+1)</f>
        <v>0</v>
      </c>
    </row>
    <row r="489" spans="1:3" x14ac:dyDescent="0.25">
      <c r="A489">
        <v>489</v>
      </c>
      <c r="B489" cm="1">
        <f t="array" ref="B489">INDEX(Optimization!$F$4:$AI$33, INT((ROW()-1)/COLUMNS(Optimization!$F$4:$AI$33))+1, MOD(ROW()-1, COLUMNS(Optimization!$F$4:$AI$33))+1)</f>
        <v>-0.41211238268572897</v>
      </c>
      <c r="C489" cm="1">
        <f t="array" ref="C489">INDEX(Optimization!$AT$4:$BW$33, INT((ROW()-1)/COLUMNS(Optimization!$AT$4:$BW$33))+1, MOD(ROW()-1, COLUMNS(Optimization!$AT$4:$BW$33))+1)</f>
        <v>0</v>
      </c>
    </row>
    <row r="490" spans="1:3" x14ac:dyDescent="0.25">
      <c r="A490">
        <v>490</v>
      </c>
      <c r="B490" cm="1">
        <f t="array" ref="B490">INDEX(Optimization!$F$4:$AI$33, INT((ROW()-1)/COLUMNS(Optimization!$F$4:$AI$33))+1, MOD(ROW()-1, COLUMNS(Optimization!$F$4:$AI$33))+1)</f>
        <v>0.53145243169453504</v>
      </c>
      <c r="C490" cm="1">
        <f t="array" ref="C490">INDEX(Optimization!$AT$4:$BW$33, INT((ROW()-1)/COLUMNS(Optimization!$AT$4:$BW$33))+1, MOD(ROW()-1, COLUMNS(Optimization!$AT$4:$BW$33))+1)</f>
        <v>0</v>
      </c>
    </row>
    <row r="491" spans="1:3" x14ac:dyDescent="0.25">
      <c r="A491">
        <v>491</v>
      </c>
      <c r="B491" cm="1">
        <f t="array" ref="B491">INDEX(Optimization!$F$4:$AI$33, INT((ROW()-1)/COLUMNS(Optimization!$F$4:$AI$33))+1, MOD(ROW()-1, COLUMNS(Optimization!$F$4:$AI$33))+1)</f>
        <v>-0.61075239316252805</v>
      </c>
      <c r="C491" cm="1">
        <f t="array" ref="C491">INDEX(Optimization!$AT$4:$BW$33, INT((ROW()-1)/COLUMNS(Optimization!$AT$4:$BW$33))+1, MOD(ROW()-1, COLUMNS(Optimization!$AT$4:$BW$33))+1)</f>
        <v>0</v>
      </c>
    </row>
    <row r="492" spans="1:3" x14ac:dyDescent="0.25">
      <c r="A492">
        <v>492</v>
      </c>
      <c r="B492" cm="1">
        <f t="array" ref="B492">INDEX(Optimization!$F$4:$AI$33, INT((ROW()-1)/COLUMNS(Optimization!$F$4:$AI$33))+1, MOD(ROW()-1, COLUMNS(Optimization!$F$4:$AI$33))+1)</f>
        <v>-0.75722338438841197</v>
      </c>
      <c r="C492" cm="1">
        <f t="array" ref="C492">INDEX(Optimization!$AT$4:$BW$33, INT((ROW()-1)/COLUMNS(Optimization!$AT$4:$BW$33))+1, MOD(ROW()-1, COLUMNS(Optimization!$AT$4:$BW$33))+1)</f>
        <v>0</v>
      </c>
    </row>
    <row r="493" spans="1:3" x14ac:dyDescent="0.25">
      <c r="A493">
        <v>493</v>
      </c>
      <c r="B493" cm="1">
        <f t="array" ref="B493">INDEX(Optimization!$F$4:$AI$33, INT((ROW()-1)/COLUMNS(Optimization!$F$4:$AI$33))+1, MOD(ROW()-1, COLUMNS(Optimization!$F$4:$AI$33))+1)</f>
        <v>-0.25119034927516298</v>
      </c>
      <c r="C493" cm="1">
        <f t="array" ref="C493">INDEX(Optimization!$AT$4:$BW$33, INT((ROW()-1)/COLUMNS(Optimization!$AT$4:$BW$33))+1, MOD(ROW()-1, COLUMNS(Optimization!$AT$4:$BW$33))+1)</f>
        <v>0</v>
      </c>
    </row>
    <row r="494" spans="1:3" x14ac:dyDescent="0.25">
      <c r="A494">
        <v>494</v>
      </c>
      <c r="B494" cm="1">
        <f t="array" ref="B494">INDEX(Optimization!$F$4:$AI$33, INT((ROW()-1)/COLUMNS(Optimization!$F$4:$AI$33))+1, MOD(ROW()-1, COLUMNS(Optimization!$F$4:$AI$33))+1)</f>
        <v>0.67590892727950602</v>
      </c>
      <c r="C494" cm="1">
        <f t="array" ref="C494">INDEX(Optimization!$AT$4:$BW$33, INT((ROW()-1)/COLUMNS(Optimization!$AT$4:$BW$33))+1, MOD(ROW()-1, COLUMNS(Optimization!$AT$4:$BW$33))+1)</f>
        <v>0</v>
      </c>
    </row>
    <row r="495" spans="1:3" x14ac:dyDescent="0.25">
      <c r="A495">
        <v>495</v>
      </c>
      <c r="B495" cm="1">
        <f t="array" ref="B495">INDEX(Optimization!$F$4:$AI$33, INT((ROW()-1)/COLUMNS(Optimization!$F$4:$AI$33))+1, MOD(ROW()-1, COLUMNS(Optimization!$F$4:$AI$33))+1)</f>
        <v>0.112629136288749</v>
      </c>
      <c r="C495" cm="1">
        <f t="array" ref="C495">INDEX(Optimization!$AT$4:$BW$33, INT((ROW()-1)/COLUMNS(Optimization!$AT$4:$BW$33))+1, MOD(ROW()-1, COLUMNS(Optimization!$AT$4:$BW$33))+1)</f>
        <v>0</v>
      </c>
    </row>
    <row r="496" spans="1:3" x14ac:dyDescent="0.25">
      <c r="A496">
        <v>496</v>
      </c>
      <c r="B496" cm="1">
        <f t="array" ref="B496">INDEX(Optimization!$F$4:$AI$33, INT((ROW()-1)/COLUMNS(Optimization!$F$4:$AI$33))+1, MOD(ROW()-1, COLUMNS(Optimization!$F$4:$AI$33))+1)</f>
        <v>0.17320001317304701</v>
      </c>
      <c r="C496" cm="1">
        <f t="array" ref="C496">INDEX(Optimization!$AT$4:$BW$33, INT((ROW()-1)/COLUMNS(Optimization!$AT$4:$BW$33))+1, MOD(ROW()-1, COLUMNS(Optimization!$AT$4:$BW$33))+1)</f>
        <v>0</v>
      </c>
    </row>
    <row r="497" spans="1:3" x14ac:dyDescent="0.25">
      <c r="A497">
        <v>497</v>
      </c>
      <c r="B497" cm="1">
        <f t="array" ref="B497">INDEX(Optimization!$F$4:$AI$33, INT((ROW()-1)/COLUMNS(Optimization!$F$4:$AI$33))+1, MOD(ROW()-1, COLUMNS(Optimization!$F$4:$AI$33))+1)</f>
        <v>0</v>
      </c>
      <c r="C497" cm="1">
        <f t="array" ref="C497">INDEX(Optimization!$AT$4:$BW$33, INT((ROW()-1)/COLUMNS(Optimization!$AT$4:$BW$33))+1, MOD(ROW()-1, COLUMNS(Optimization!$AT$4:$BW$33))+1)</f>
        <v>0</v>
      </c>
    </row>
    <row r="498" spans="1:3" x14ac:dyDescent="0.25">
      <c r="A498">
        <v>498</v>
      </c>
      <c r="B498" cm="1">
        <f t="array" ref="B498">INDEX(Optimization!$F$4:$AI$33, INT((ROW()-1)/COLUMNS(Optimization!$F$4:$AI$33))+1, MOD(ROW()-1, COLUMNS(Optimization!$F$4:$AI$33))+1)</f>
        <v>0.35051398641301501</v>
      </c>
      <c r="C498" cm="1">
        <f t="array" ref="C498">INDEX(Optimization!$AT$4:$BW$33, INT((ROW()-1)/COLUMNS(Optimization!$AT$4:$BW$33))+1, MOD(ROW()-1, COLUMNS(Optimization!$AT$4:$BW$33))+1)</f>
        <v>0</v>
      </c>
    </row>
    <row r="499" spans="1:3" x14ac:dyDescent="0.25">
      <c r="A499">
        <v>499</v>
      </c>
      <c r="B499" cm="1">
        <f t="array" ref="B499">INDEX(Optimization!$F$4:$AI$33, INT((ROW()-1)/COLUMNS(Optimization!$F$4:$AI$33))+1, MOD(ROW()-1, COLUMNS(Optimization!$F$4:$AI$33))+1)</f>
        <v>0.69985713116894099</v>
      </c>
      <c r="C499" cm="1">
        <f t="array" ref="C499">INDEX(Optimization!$AT$4:$BW$33, INT((ROW()-1)/COLUMNS(Optimization!$AT$4:$BW$33))+1, MOD(ROW()-1, COLUMNS(Optimization!$AT$4:$BW$33))+1)</f>
        <v>0</v>
      </c>
    </row>
    <row r="500" spans="1:3" x14ac:dyDescent="0.25">
      <c r="A500">
        <v>500</v>
      </c>
      <c r="B500" cm="1">
        <f t="array" ref="B500">INDEX(Optimization!$F$4:$AI$33, INT((ROW()-1)/COLUMNS(Optimization!$F$4:$AI$33))+1, MOD(ROW()-1, COLUMNS(Optimization!$F$4:$AI$33))+1)</f>
        <v>5.0933385325006297E-2</v>
      </c>
      <c r="C500" cm="1">
        <f t="array" ref="C500">INDEX(Optimization!$AT$4:$BW$33, INT((ROW()-1)/COLUMNS(Optimization!$AT$4:$BW$33))+1, MOD(ROW()-1, COLUMNS(Optimization!$AT$4:$BW$33))+1)</f>
        <v>0</v>
      </c>
    </row>
    <row r="501" spans="1:3" x14ac:dyDescent="0.25">
      <c r="A501">
        <v>501</v>
      </c>
      <c r="B501" cm="1">
        <f t="array" ref="B501">INDEX(Optimization!$F$4:$AI$33, INT((ROW()-1)/COLUMNS(Optimization!$F$4:$AI$33))+1, MOD(ROW()-1, COLUMNS(Optimization!$F$4:$AI$33))+1)</f>
        <v>-1.03352822621116</v>
      </c>
      <c r="C501" cm="1">
        <f t="array" ref="C501">INDEX(Optimization!$AT$4:$BW$33, INT((ROW()-1)/COLUMNS(Optimization!$AT$4:$BW$33))+1, MOD(ROW()-1, COLUMNS(Optimization!$AT$4:$BW$33))+1)</f>
        <v>0</v>
      </c>
    </row>
    <row r="502" spans="1:3" x14ac:dyDescent="0.25">
      <c r="A502">
        <v>502</v>
      </c>
      <c r="B502" cm="1">
        <f t="array" ref="B502">INDEX(Optimization!$F$4:$AI$33, INT((ROW()-1)/COLUMNS(Optimization!$F$4:$AI$33))+1, MOD(ROW()-1, COLUMNS(Optimization!$F$4:$AI$33))+1)</f>
        <v>-3.28555344892935E-2</v>
      </c>
      <c r="C502" cm="1">
        <f t="array" ref="C502">INDEX(Optimization!$AT$4:$BW$33, INT((ROW()-1)/COLUMNS(Optimization!$AT$4:$BW$33))+1, MOD(ROW()-1, COLUMNS(Optimization!$AT$4:$BW$33))+1)</f>
        <v>0</v>
      </c>
    </row>
    <row r="503" spans="1:3" x14ac:dyDescent="0.25">
      <c r="A503">
        <v>503</v>
      </c>
      <c r="B503" cm="1">
        <f t="array" ref="B503">INDEX(Optimization!$F$4:$AI$33, INT((ROW()-1)/COLUMNS(Optimization!$F$4:$AI$33))+1, MOD(ROW()-1, COLUMNS(Optimization!$F$4:$AI$33))+1)</f>
        <v>-0.12077299394431799</v>
      </c>
      <c r="C503" cm="1">
        <f t="array" ref="C503">INDEX(Optimization!$AT$4:$BW$33, INT((ROW()-1)/COLUMNS(Optimization!$AT$4:$BW$33))+1, MOD(ROW()-1, COLUMNS(Optimization!$AT$4:$BW$33))+1)</f>
        <v>0</v>
      </c>
    </row>
    <row r="504" spans="1:3" x14ac:dyDescent="0.25">
      <c r="A504">
        <v>504</v>
      </c>
      <c r="B504" cm="1">
        <f t="array" ref="B504">INDEX(Optimization!$F$4:$AI$33, INT((ROW()-1)/COLUMNS(Optimization!$F$4:$AI$33))+1, MOD(ROW()-1, COLUMNS(Optimization!$F$4:$AI$33))+1)</f>
        <v>7.4523533822324406E-2</v>
      </c>
      <c r="C504" cm="1">
        <f t="array" ref="C504">INDEX(Optimization!$AT$4:$BW$33, INT((ROW()-1)/COLUMNS(Optimization!$AT$4:$BW$33))+1, MOD(ROW()-1, COLUMNS(Optimization!$AT$4:$BW$33))+1)</f>
        <v>0</v>
      </c>
    </row>
    <row r="505" spans="1:3" x14ac:dyDescent="0.25">
      <c r="A505">
        <v>505</v>
      </c>
      <c r="B505" cm="1">
        <f t="array" ref="B505">INDEX(Optimization!$F$4:$AI$33, INT((ROW()-1)/COLUMNS(Optimization!$F$4:$AI$33))+1, MOD(ROW()-1, COLUMNS(Optimization!$F$4:$AI$33))+1)</f>
        <v>-1.3606459227659899</v>
      </c>
      <c r="C505" cm="1">
        <f t="array" ref="C505">INDEX(Optimization!$AT$4:$BW$33, INT((ROW()-1)/COLUMNS(Optimization!$AT$4:$BW$33))+1, MOD(ROW()-1, COLUMNS(Optimization!$AT$4:$BW$33))+1)</f>
        <v>0</v>
      </c>
    </row>
    <row r="506" spans="1:3" x14ac:dyDescent="0.25">
      <c r="A506">
        <v>506</v>
      </c>
      <c r="B506" cm="1">
        <f t="array" ref="B506">INDEX(Optimization!$F$4:$AI$33, INT((ROW()-1)/COLUMNS(Optimization!$F$4:$AI$33))+1, MOD(ROW()-1, COLUMNS(Optimization!$F$4:$AI$33))+1)</f>
        <v>0.65894818259208698</v>
      </c>
      <c r="C506" cm="1">
        <f t="array" ref="C506">INDEX(Optimization!$AT$4:$BW$33, INT((ROW()-1)/COLUMNS(Optimization!$AT$4:$BW$33))+1, MOD(ROW()-1, COLUMNS(Optimization!$AT$4:$BW$33))+1)</f>
        <v>0</v>
      </c>
    </row>
    <row r="507" spans="1:3" x14ac:dyDescent="0.25">
      <c r="A507">
        <v>507</v>
      </c>
      <c r="B507" cm="1">
        <f t="array" ref="B507">INDEX(Optimization!$F$4:$AI$33, INT((ROW()-1)/COLUMNS(Optimization!$F$4:$AI$33))+1, MOD(ROW()-1, COLUMNS(Optimization!$F$4:$AI$33))+1)</f>
        <v>-4.6238840510950098E-2</v>
      </c>
      <c r="C507" cm="1">
        <f t="array" ref="C507">INDEX(Optimization!$AT$4:$BW$33, INT((ROW()-1)/COLUMNS(Optimization!$AT$4:$BW$33))+1, MOD(ROW()-1, COLUMNS(Optimization!$AT$4:$BW$33))+1)</f>
        <v>0</v>
      </c>
    </row>
    <row r="508" spans="1:3" x14ac:dyDescent="0.25">
      <c r="A508">
        <v>508</v>
      </c>
      <c r="B508" cm="1">
        <f t="array" ref="B508">INDEX(Optimization!$F$4:$AI$33, INT((ROW()-1)/COLUMNS(Optimization!$F$4:$AI$33))+1, MOD(ROW()-1, COLUMNS(Optimization!$F$4:$AI$33))+1)</f>
        <v>-1.17006505065017</v>
      </c>
      <c r="C508" cm="1">
        <f t="array" ref="C508">INDEX(Optimization!$AT$4:$BW$33, INT((ROW()-1)/COLUMNS(Optimization!$AT$4:$BW$33))+1, MOD(ROW()-1, COLUMNS(Optimization!$AT$4:$BW$33))+1)</f>
        <v>0</v>
      </c>
    </row>
    <row r="509" spans="1:3" x14ac:dyDescent="0.25">
      <c r="A509">
        <v>509</v>
      </c>
      <c r="B509" cm="1">
        <f t="array" ref="B509">INDEX(Optimization!$F$4:$AI$33, INT((ROW()-1)/COLUMNS(Optimization!$F$4:$AI$33))+1, MOD(ROW()-1, COLUMNS(Optimization!$F$4:$AI$33))+1)</f>
        <v>-1.2230415972366799</v>
      </c>
      <c r="C509" cm="1">
        <f t="array" ref="C509">INDEX(Optimization!$AT$4:$BW$33, INT((ROW()-1)/COLUMNS(Optimization!$AT$4:$BW$33))+1, MOD(ROW()-1, COLUMNS(Optimization!$AT$4:$BW$33))+1)</f>
        <v>0</v>
      </c>
    </row>
    <row r="510" spans="1:3" x14ac:dyDescent="0.25">
      <c r="A510">
        <v>510</v>
      </c>
      <c r="B510" cm="1">
        <f t="array" ref="B510">INDEX(Optimization!$F$4:$AI$33, INT((ROW()-1)/COLUMNS(Optimization!$F$4:$AI$33))+1, MOD(ROW()-1, COLUMNS(Optimization!$F$4:$AI$33))+1)</f>
        <v>-8.1744024113293998E-2</v>
      </c>
      <c r="C510" cm="1">
        <f t="array" ref="C510">INDEX(Optimization!$AT$4:$BW$33, INT((ROW()-1)/COLUMNS(Optimization!$AT$4:$BW$33))+1, MOD(ROW()-1, COLUMNS(Optimization!$AT$4:$BW$33))+1)</f>
        <v>0</v>
      </c>
    </row>
    <row r="511" spans="1:3" x14ac:dyDescent="0.25">
      <c r="A511">
        <v>511</v>
      </c>
      <c r="B511" cm="1">
        <f t="array" ref="B511">INDEX(Optimization!$F$4:$AI$33, INT((ROW()-1)/COLUMNS(Optimization!$F$4:$AI$33))+1, MOD(ROW()-1, COLUMNS(Optimization!$F$4:$AI$33))+1)</f>
        <v>0.73219835913706699</v>
      </c>
      <c r="C511" cm="1">
        <f t="array" ref="C511">INDEX(Optimization!$AT$4:$BW$33, INT((ROW()-1)/COLUMNS(Optimization!$AT$4:$BW$33))+1, MOD(ROW()-1, COLUMNS(Optimization!$AT$4:$BW$33))+1)</f>
        <v>0</v>
      </c>
    </row>
    <row r="512" spans="1:3" x14ac:dyDescent="0.25">
      <c r="A512">
        <v>512</v>
      </c>
      <c r="B512" cm="1">
        <f t="array" ref="B512">INDEX(Optimization!$F$4:$AI$33, INT((ROW()-1)/COLUMNS(Optimization!$F$4:$AI$33))+1, MOD(ROW()-1, COLUMNS(Optimization!$F$4:$AI$33))+1)</f>
        <v>0.74021598554684498</v>
      </c>
      <c r="C512" cm="1">
        <f t="array" ref="C512">INDEX(Optimization!$AT$4:$BW$33, INT((ROW()-1)/COLUMNS(Optimization!$AT$4:$BW$33))+1, MOD(ROW()-1, COLUMNS(Optimization!$AT$4:$BW$33))+1)</f>
        <v>0</v>
      </c>
    </row>
    <row r="513" spans="1:3" x14ac:dyDescent="0.25">
      <c r="A513">
        <v>513</v>
      </c>
      <c r="B513" cm="1">
        <f t="array" ref="B513">INDEX(Optimization!$F$4:$AI$33, INT((ROW()-1)/COLUMNS(Optimization!$F$4:$AI$33))+1, MOD(ROW()-1, COLUMNS(Optimization!$F$4:$AI$33))+1)</f>
        <v>0.47815306106753502</v>
      </c>
      <c r="C513" cm="1">
        <f t="array" ref="C513">INDEX(Optimization!$AT$4:$BW$33, INT((ROW()-1)/COLUMNS(Optimization!$AT$4:$BW$33))+1, MOD(ROW()-1, COLUMNS(Optimization!$AT$4:$BW$33))+1)</f>
        <v>0</v>
      </c>
    </row>
    <row r="514" spans="1:3" x14ac:dyDescent="0.25">
      <c r="A514">
        <v>514</v>
      </c>
      <c r="B514" cm="1">
        <f t="array" ref="B514">INDEX(Optimization!$F$4:$AI$33, INT((ROW()-1)/COLUMNS(Optimization!$F$4:$AI$33))+1, MOD(ROW()-1, COLUMNS(Optimization!$F$4:$AI$33))+1)</f>
        <v>0.38650075515003002</v>
      </c>
      <c r="C514" cm="1">
        <f t="array" ref="C514">INDEX(Optimization!$AT$4:$BW$33, INT((ROW()-1)/COLUMNS(Optimization!$AT$4:$BW$33))+1, MOD(ROW()-1, COLUMNS(Optimization!$AT$4:$BW$33))+1)</f>
        <v>0</v>
      </c>
    </row>
    <row r="515" spans="1:3" x14ac:dyDescent="0.25">
      <c r="A515">
        <v>515</v>
      </c>
      <c r="B515" cm="1">
        <f t="array" ref="B515">INDEX(Optimization!$F$4:$AI$33, INT((ROW()-1)/COLUMNS(Optimization!$F$4:$AI$33))+1, MOD(ROW()-1, COLUMNS(Optimization!$F$4:$AI$33))+1)</f>
        <v>0.53032207733395098</v>
      </c>
      <c r="C515" cm="1">
        <f t="array" ref="C515">INDEX(Optimization!$AT$4:$BW$33, INT((ROW()-1)/COLUMNS(Optimization!$AT$4:$BW$33))+1, MOD(ROW()-1, COLUMNS(Optimization!$AT$4:$BW$33))+1)</f>
        <v>0</v>
      </c>
    </row>
    <row r="516" spans="1:3" x14ac:dyDescent="0.25">
      <c r="A516">
        <v>516</v>
      </c>
      <c r="B516" cm="1">
        <f t="array" ref="B516">INDEX(Optimization!$F$4:$AI$33, INT((ROW()-1)/COLUMNS(Optimization!$F$4:$AI$33))+1, MOD(ROW()-1, COLUMNS(Optimization!$F$4:$AI$33))+1)</f>
        <v>-0.51607408895264995</v>
      </c>
      <c r="C516" cm="1">
        <f t="array" ref="C516">INDEX(Optimization!$AT$4:$BW$33, INT((ROW()-1)/COLUMNS(Optimization!$AT$4:$BW$33))+1, MOD(ROW()-1, COLUMNS(Optimization!$AT$4:$BW$33))+1)</f>
        <v>0</v>
      </c>
    </row>
    <row r="517" spans="1:3" x14ac:dyDescent="0.25">
      <c r="A517">
        <v>517</v>
      </c>
      <c r="B517" cm="1">
        <f t="array" ref="B517">INDEX(Optimization!$F$4:$AI$33, INT((ROW()-1)/COLUMNS(Optimization!$F$4:$AI$33))+1, MOD(ROW()-1, COLUMNS(Optimization!$F$4:$AI$33))+1)</f>
        <v>0.58916309928594401</v>
      </c>
      <c r="C517" cm="1">
        <f t="array" ref="C517">INDEX(Optimization!$AT$4:$BW$33, INT((ROW()-1)/COLUMNS(Optimization!$AT$4:$BW$33))+1, MOD(ROW()-1, COLUMNS(Optimization!$AT$4:$BW$33))+1)</f>
        <v>0</v>
      </c>
    </row>
    <row r="518" spans="1:3" x14ac:dyDescent="0.25">
      <c r="A518">
        <v>518</v>
      </c>
      <c r="B518" cm="1">
        <f t="array" ref="B518">INDEX(Optimization!$F$4:$AI$33, INT((ROW()-1)/COLUMNS(Optimization!$F$4:$AI$33))+1, MOD(ROW()-1, COLUMNS(Optimization!$F$4:$AI$33))+1)</f>
        <v>-0.84750314548495498</v>
      </c>
      <c r="C518" cm="1">
        <f t="array" ref="C518">INDEX(Optimization!$AT$4:$BW$33, INT((ROW()-1)/COLUMNS(Optimization!$AT$4:$BW$33))+1, MOD(ROW()-1, COLUMNS(Optimization!$AT$4:$BW$33))+1)</f>
        <v>0</v>
      </c>
    </row>
    <row r="519" spans="1:3" x14ac:dyDescent="0.25">
      <c r="A519">
        <v>519</v>
      </c>
      <c r="B519" cm="1">
        <f t="array" ref="B519">INDEX(Optimization!$F$4:$AI$33, INT((ROW()-1)/COLUMNS(Optimization!$F$4:$AI$33))+1, MOD(ROW()-1, COLUMNS(Optimization!$F$4:$AI$33))+1)</f>
        <v>0.43753892099449099</v>
      </c>
      <c r="C519" cm="1">
        <f t="array" ref="C519">INDEX(Optimization!$AT$4:$BW$33, INT((ROW()-1)/COLUMNS(Optimization!$AT$4:$BW$33))+1, MOD(ROW()-1, COLUMNS(Optimization!$AT$4:$BW$33))+1)</f>
        <v>0</v>
      </c>
    </row>
    <row r="520" spans="1:3" x14ac:dyDescent="0.25">
      <c r="A520">
        <v>520</v>
      </c>
      <c r="B520" cm="1">
        <f t="array" ref="B520">INDEX(Optimization!$F$4:$AI$33, INT((ROW()-1)/COLUMNS(Optimization!$F$4:$AI$33))+1, MOD(ROW()-1, COLUMNS(Optimization!$F$4:$AI$33))+1)</f>
        <v>-0.58860462028989502</v>
      </c>
      <c r="C520" cm="1">
        <f t="array" ref="C520">INDEX(Optimization!$AT$4:$BW$33, INT((ROW()-1)/COLUMNS(Optimization!$AT$4:$BW$33))+1, MOD(ROW()-1, COLUMNS(Optimization!$AT$4:$BW$33))+1)</f>
        <v>0</v>
      </c>
    </row>
    <row r="521" spans="1:3" x14ac:dyDescent="0.25">
      <c r="A521">
        <v>521</v>
      </c>
      <c r="B521" cm="1">
        <f t="array" ref="B521">INDEX(Optimization!$F$4:$AI$33, INT((ROW()-1)/COLUMNS(Optimization!$F$4:$AI$33))+1, MOD(ROW()-1, COLUMNS(Optimization!$F$4:$AI$33))+1)</f>
        <v>-0.68624346210708898</v>
      </c>
      <c r="C521" cm="1">
        <f t="array" ref="C521">INDEX(Optimization!$AT$4:$BW$33, INT((ROW()-1)/COLUMNS(Optimization!$AT$4:$BW$33))+1, MOD(ROW()-1, COLUMNS(Optimization!$AT$4:$BW$33))+1)</f>
        <v>0</v>
      </c>
    </row>
    <row r="522" spans="1:3" x14ac:dyDescent="0.25">
      <c r="A522">
        <v>522</v>
      </c>
      <c r="B522" cm="1">
        <f t="array" ref="B522">INDEX(Optimization!$F$4:$AI$33, INT((ROW()-1)/COLUMNS(Optimization!$F$4:$AI$33))+1, MOD(ROW()-1, COLUMNS(Optimization!$F$4:$AI$33))+1)</f>
        <v>-0.320680559270692</v>
      </c>
      <c r="C522" cm="1">
        <f t="array" ref="C522">INDEX(Optimization!$AT$4:$BW$33, INT((ROW()-1)/COLUMNS(Optimization!$AT$4:$BW$33))+1, MOD(ROW()-1, COLUMNS(Optimization!$AT$4:$BW$33))+1)</f>
        <v>0</v>
      </c>
    </row>
    <row r="523" spans="1:3" x14ac:dyDescent="0.25">
      <c r="A523">
        <v>523</v>
      </c>
      <c r="B523" cm="1">
        <f t="array" ref="B523">INDEX(Optimization!$F$4:$AI$33, INT((ROW()-1)/COLUMNS(Optimization!$F$4:$AI$33))+1, MOD(ROW()-1, COLUMNS(Optimization!$F$4:$AI$33))+1)</f>
        <v>-0.92115331084122098</v>
      </c>
      <c r="C523" cm="1">
        <f t="array" ref="C523">INDEX(Optimization!$AT$4:$BW$33, INT((ROW()-1)/COLUMNS(Optimization!$AT$4:$BW$33))+1, MOD(ROW()-1, COLUMNS(Optimization!$AT$4:$BW$33))+1)</f>
        <v>0</v>
      </c>
    </row>
    <row r="524" spans="1:3" x14ac:dyDescent="0.25">
      <c r="A524">
        <v>524</v>
      </c>
      <c r="B524" cm="1">
        <f t="array" ref="B524">INDEX(Optimization!$F$4:$AI$33, INT((ROW()-1)/COLUMNS(Optimization!$F$4:$AI$33))+1, MOD(ROW()-1, COLUMNS(Optimization!$F$4:$AI$33))+1)</f>
        <v>1.12958881681944E-2</v>
      </c>
      <c r="C524" cm="1">
        <f t="array" ref="C524">INDEX(Optimization!$AT$4:$BW$33, INT((ROW()-1)/COLUMNS(Optimization!$AT$4:$BW$33))+1, MOD(ROW()-1, COLUMNS(Optimization!$AT$4:$BW$33))+1)</f>
        <v>0</v>
      </c>
    </row>
    <row r="525" spans="1:3" x14ac:dyDescent="0.25">
      <c r="A525">
        <v>525</v>
      </c>
      <c r="B525" cm="1">
        <f t="array" ref="B525">INDEX(Optimization!$F$4:$AI$33, INT((ROW()-1)/COLUMNS(Optimization!$F$4:$AI$33))+1, MOD(ROW()-1, COLUMNS(Optimization!$F$4:$AI$33))+1)</f>
        <v>0.78535463616605905</v>
      </c>
      <c r="C525" cm="1">
        <f t="array" ref="C525">INDEX(Optimization!$AT$4:$BW$33, INT((ROW()-1)/COLUMNS(Optimization!$AT$4:$BW$33))+1, MOD(ROW()-1, COLUMNS(Optimization!$AT$4:$BW$33))+1)</f>
        <v>0</v>
      </c>
    </row>
    <row r="526" spans="1:3" x14ac:dyDescent="0.25">
      <c r="A526">
        <v>526</v>
      </c>
      <c r="B526" cm="1">
        <f t="array" ref="B526">INDEX(Optimization!$F$4:$AI$33, INT((ROW()-1)/COLUMNS(Optimization!$F$4:$AI$33))+1, MOD(ROW()-1, COLUMNS(Optimization!$F$4:$AI$33))+1)</f>
        <v>-0.17633397007684301</v>
      </c>
      <c r="C526" cm="1">
        <f t="array" ref="C526">INDEX(Optimization!$AT$4:$BW$33, INT((ROW()-1)/COLUMNS(Optimization!$AT$4:$BW$33))+1, MOD(ROW()-1, COLUMNS(Optimization!$AT$4:$BW$33))+1)</f>
        <v>0</v>
      </c>
    </row>
    <row r="527" spans="1:3" x14ac:dyDescent="0.25">
      <c r="A527">
        <v>527</v>
      </c>
      <c r="B527" cm="1">
        <f t="array" ref="B527">INDEX(Optimization!$F$4:$AI$33, INT((ROW()-1)/COLUMNS(Optimization!$F$4:$AI$33))+1, MOD(ROW()-1, COLUMNS(Optimization!$F$4:$AI$33))+1)</f>
        <v>0.35051398641301501</v>
      </c>
      <c r="C527" cm="1">
        <f t="array" ref="C527">INDEX(Optimization!$AT$4:$BW$33, INT((ROW()-1)/COLUMNS(Optimization!$AT$4:$BW$33))+1, MOD(ROW()-1, COLUMNS(Optimization!$AT$4:$BW$33))+1)</f>
        <v>0</v>
      </c>
    </row>
    <row r="528" spans="1:3" x14ac:dyDescent="0.25">
      <c r="A528">
        <v>528</v>
      </c>
      <c r="B528" cm="1">
        <f t="array" ref="B528">INDEX(Optimization!$F$4:$AI$33, INT((ROW()-1)/COLUMNS(Optimization!$F$4:$AI$33))+1, MOD(ROW()-1, COLUMNS(Optimization!$F$4:$AI$33))+1)</f>
        <v>0</v>
      </c>
      <c r="C528" cm="1">
        <f t="array" ref="C528">INDEX(Optimization!$AT$4:$BW$33, INT((ROW()-1)/COLUMNS(Optimization!$AT$4:$BW$33))+1, MOD(ROW()-1, COLUMNS(Optimization!$AT$4:$BW$33))+1)</f>
        <v>0</v>
      </c>
    </row>
    <row r="529" spans="1:3" x14ac:dyDescent="0.25">
      <c r="A529">
        <v>529</v>
      </c>
      <c r="B529" cm="1">
        <f t="array" ref="B529">INDEX(Optimization!$F$4:$AI$33, INT((ROW()-1)/COLUMNS(Optimization!$F$4:$AI$33))+1, MOD(ROW()-1, COLUMNS(Optimization!$F$4:$AI$33))+1)</f>
        <v>0.26530616471912799</v>
      </c>
      <c r="C529" cm="1">
        <f t="array" ref="C529">INDEX(Optimization!$AT$4:$BW$33, INT((ROW()-1)/COLUMNS(Optimization!$AT$4:$BW$33))+1, MOD(ROW()-1, COLUMNS(Optimization!$AT$4:$BW$33))+1)</f>
        <v>0</v>
      </c>
    </row>
    <row r="530" spans="1:3" x14ac:dyDescent="0.25">
      <c r="A530">
        <v>530</v>
      </c>
      <c r="B530" cm="1">
        <f t="array" ref="B530">INDEX(Optimization!$F$4:$AI$33, INT((ROW()-1)/COLUMNS(Optimization!$F$4:$AI$33))+1, MOD(ROW()-1, COLUMNS(Optimization!$F$4:$AI$33))+1)</f>
        <v>-0.25201523313128898</v>
      </c>
      <c r="C530" cm="1">
        <f t="array" ref="C530">INDEX(Optimization!$AT$4:$BW$33, INT((ROW()-1)/COLUMNS(Optimization!$AT$4:$BW$33))+1, MOD(ROW()-1, COLUMNS(Optimization!$AT$4:$BW$33))+1)</f>
        <v>0</v>
      </c>
    </row>
    <row r="531" spans="1:3" x14ac:dyDescent="0.25">
      <c r="A531">
        <v>531</v>
      </c>
      <c r="B531" cm="1">
        <f t="array" ref="B531">INDEX(Optimization!$F$4:$AI$33, INT((ROW()-1)/COLUMNS(Optimization!$F$4:$AI$33))+1, MOD(ROW()-1, COLUMNS(Optimization!$F$4:$AI$33))+1)</f>
        <v>1.3197480538078099</v>
      </c>
      <c r="C531" cm="1">
        <f t="array" ref="C531">INDEX(Optimization!$AT$4:$BW$33, INT((ROW()-1)/COLUMNS(Optimization!$AT$4:$BW$33))+1, MOD(ROW()-1, COLUMNS(Optimization!$AT$4:$BW$33))+1)</f>
        <v>0</v>
      </c>
    </row>
    <row r="532" spans="1:3" x14ac:dyDescent="0.25">
      <c r="A532">
        <v>532</v>
      </c>
      <c r="B532" cm="1">
        <f t="array" ref="B532">INDEX(Optimization!$F$4:$AI$33, INT((ROW()-1)/COLUMNS(Optimization!$F$4:$AI$33))+1, MOD(ROW()-1, COLUMNS(Optimization!$F$4:$AI$33))+1)</f>
        <v>-0.68361733374469902</v>
      </c>
      <c r="C532" cm="1">
        <f t="array" ref="C532">INDEX(Optimization!$AT$4:$BW$33, INT((ROW()-1)/COLUMNS(Optimization!$AT$4:$BW$33))+1, MOD(ROW()-1, COLUMNS(Optimization!$AT$4:$BW$33))+1)</f>
        <v>0</v>
      </c>
    </row>
    <row r="533" spans="1:3" x14ac:dyDescent="0.25">
      <c r="A533">
        <v>533</v>
      </c>
      <c r="B533" cm="1">
        <f t="array" ref="B533">INDEX(Optimization!$F$4:$AI$33, INT((ROW()-1)/COLUMNS(Optimization!$F$4:$AI$33))+1, MOD(ROW()-1, COLUMNS(Optimization!$F$4:$AI$33))+1)</f>
        <v>0.212958313617024</v>
      </c>
      <c r="C533" cm="1">
        <f t="array" ref="C533">INDEX(Optimization!$AT$4:$BW$33, INT((ROW()-1)/COLUMNS(Optimization!$AT$4:$BW$33))+1, MOD(ROW()-1, COLUMNS(Optimization!$AT$4:$BW$33))+1)</f>
        <v>0</v>
      </c>
    </row>
    <row r="534" spans="1:3" x14ac:dyDescent="0.25">
      <c r="A534">
        <v>534</v>
      </c>
      <c r="B534" cm="1">
        <f t="array" ref="B534">INDEX(Optimization!$F$4:$AI$33, INT((ROW()-1)/COLUMNS(Optimization!$F$4:$AI$33))+1, MOD(ROW()-1, COLUMNS(Optimization!$F$4:$AI$33))+1)</f>
        <v>-0.42786752273906797</v>
      </c>
      <c r="C534" cm="1">
        <f t="array" ref="C534">INDEX(Optimization!$AT$4:$BW$33, INT((ROW()-1)/COLUMNS(Optimization!$AT$4:$BW$33))+1, MOD(ROW()-1, COLUMNS(Optimization!$AT$4:$BW$33))+1)</f>
        <v>0</v>
      </c>
    </row>
    <row r="535" spans="1:3" x14ac:dyDescent="0.25">
      <c r="A535">
        <v>535</v>
      </c>
      <c r="B535" cm="1">
        <f t="array" ref="B535">INDEX(Optimization!$F$4:$AI$33, INT((ROW()-1)/COLUMNS(Optimization!$F$4:$AI$33))+1, MOD(ROW()-1, COLUMNS(Optimization!$F$4:$AI$33))+1)</f>
        <v>-7.9491270940328596E-2</v>
      </c>
      <c r="C535" cm="1">
        <f t="array" ref="C535">INDEX(Optimization!$AT$4:$BW$33, INT((ROW()-1)/COLUMNS(Optimization!$AT$4:$BW$33))+1, MOD(ROW()-1, COLUMNS(Optimization!$AT$4:$BW$33))+1)</f>
        <v>0</v>
      </c>
    </row>
    <row r="536" spans="1:3" x14ac:dyDescent="0.25">
      <c r="A536">
        <v>536</v>
      </c>
      <c r="B536" cm="1">
        <f t="array" ref="B536">INDEX(Optimization!$F$4:$AI$33, INT((ROW()-1)/COLUMNS(Optimization!$F$4:$AI$33))+1, MOD(ROW()-1, COLUMNS(Optimization!$F$4:$AI$33))+1)</f>
        <v>-0.25306672553624898</v>
      </c>
      <c r="C536" cm="1">
        <f t="array" ref="C536">INDEX(Optimization!$AT$4:$BW$33, INT((ROW()-1)/COLUMNS(Optimization!$AT$4:$BW$33))+1, MOD(ROW()-1, COLUMNS(Optimization!$AT$4:$BW$33))+1)</f>
        <v>0</v>
      </c>
    </row>
    <row r="537" spans="1:3" x14ac:dyDescent="0.25">
      <c r="A537">
        <v>537</v>
      </c>
      <c r="B537" cm="1">
        <f t="array" ref="B537">INDEX(Optimization!$F$4:$AI$33, INT((ROW()-1)/COLUMNS(Optimization!$F$4:$AI$33))+1, MOD(ROW()-1, COLUMNS(Optimization!$F$4:$AI$33))+1)</f>
        <v>-0.23110818400820701</v>
      </c>
      <c r="C537" cm="1">
        <f t="array" ref="C537">INDEX(Optimization!$AT$4:$BW$33, INT((ROW()-1)/COLUMNS(Optimization!$AT$4:$BW$33))+1, MOD(ROW()-1, COLUMNS(Optimization!$AT$4:$BW$33))+1)</f>
        <v>0</v>
      </c>
    </row>
    <row r="538" spans="1:3" x14ac:dyDescent="0.25">
      <c r="A538">
        <v>538</v>
      </c>
      <c r="B538" cm="1">
        <f t="array" ref="B538">INDEX(Optimization!$F$4:$AI$33, INT((ROW()-1)/COLUMNS(Optimization!$F$4:$AI$33))+1, MOD(ROW()-1, COLUMNS(Optimization!$F$4:$AI$33))+1)</f>
        <v>0.78536382340532795</v>
      </c>
      <c r="C538" cm="1">
        <f t="array" ref="C538">INDEX(Optimization!$AT$4:$BW$33, INT((ROW()-1)/COLUMNS(Optimization!$AT$4:$BW$33))+1, MOD(ROW()-1, COLUMNS(Optimization!$AT$4:$BW$33))+1)</f>
        <v>0</v>
      </c>
    </row>
    <row r="539" spans="1:3" x14ac:dyDescent="0.25">
      <c r="A539">
        <v>539</v>
      </c>
      <c r="B539" cm="1">
        <f t="array" ref="B539">INDEX(Optimization!$F$4:$AI$33, INT((ROW()-1)/COLUMNS(Optimization!$F$4:$AI$33))+1, MOD(ROW()-1, COLUMNS(Optimization!$F$4:$AI$33))+1)</f>
        <v>-1.5118462788848901</v>
      </c>
      <c r="C539" cm="1">
        <f t="array" ref="C539">INDEX(Optimization!$AT$4:$BW$33, INT((ROW()-1)/COLUMNS(Optimization!$AT$4:$BW$33))+1, MOD(ROW()-1, COLUMNS(Optimization!$AT$4:$BW$33))+1)</f>
        <v>0</v>
      </c>
    </row>
    <row r="540" spans="1:3" x14ac:dyDescent="0.25">
      <c r="A540">
        <v>540</v>
      </c>
      <c r="B540" cm="1">
        <f t="array" ref="B540">INDEX(Optimization!$F$4:$AI$33, INT((ROW()-1)/COLUMNS(Optimization!$F$4:$AI$33))+1, MOD(ROW()-1, COLUMNS(Optimization!$F$4:$AI$33))+1)</f>
        <v>-0.94170340829253596</v>
      </c>
      <c r="C540" cm="1">
        <f t="array" ref="C540">INDEX(Optimization!$AT$4:$BW$33, INT((ROW()-1)/COLUMNS(Optimization!$AT$4:$BW$33))+1, MOD(ROW()-1, COLUMNS(Optimization!$AT$4:$BW$33))+1)</f>
        <v>0</v>
      </c>
    </row>
    <row r="541" spans="1:3" x14ac:dyDescent="0.25">
      <c r="A541">
        <v>541</v>
      </c>
      <c r="B541" cm="1">
        <f t="array" ref="B541">INDEX(Optimization!$F$4:$AI$33, INT((ROW()-1)/COLUMNS(Optimization!$F$4:$AI$33))+1, MOD(ROW()-1, COLUMNS(Optimization!$F$4:$AI$33))+1)</f>
        <v>-1.34738136129875</v>
      </c>
      <c r="C541" cm="1">
        <f t="array" ref="C541">INDEX(Optimization!$AT$4:$BW$33, INT((ROW()-1)/COLUMNS(Optimization!$AT$4:$BW$33))+1, MOD(ROW()-1, COLUMNS(Optimization!$AT$4:$BW$33))+1)</f>
        <v>0</v>
      </c>
    </row>
    <row r="542" spans="1:3" x14ac:dyDescent="0.25">
      <c r="A542">
        <v>542</v>
      </c>
      <c r="B542" cm="1">
        <f t="array" ref="B542">INDEX(Optimization!$F$4:$AI$33, INT((ROW()-1)/COLUMNS(Optimization!$F$4:$AI$33))+1, MOD(ROW()-1, COLUMNS(Optimization!$F$4:$AI$33))+1)</f>
        <v>-0.76137589916465598</v>
      </c>
      <c r="C542" cm="1">
        <f t="array" ref="C542">INDEX(Optimization!$AT$4:$BW$33, INT((ROW()-1)/COLUMNS(Optimization!$AT$4:$BW$33))+1, MOD(ROW()-1, COLUMNS(Optimization!$AT$4:$BW$33))+1)</f>
        <v>0</v>
      </c>
    </row>
    <row r="543" spans="1:3" x14ac:dyDescent="0.25">
      <c r="A543">
        <v>543</v>
      </c>
      <c r="B543" cm="1">
        <f t="array" ref="B543">INDEX(Optimization!$F$4:$AI$33, INT((ROW()-1)/COLUMNS(Optimization!$F$4:$AI$33))+1, MOD(ROW()-1, COLUMNS(Optimization!$F$4:$AI$33))+1)</f>
        <v>0.84495080921130705</v>
      </c>
      <c r="C543" cm="1">
        <f t="array" ref="C543">INDEX(Optimization!$AT$4:$BW$33, INT((ROW()-1)/COLUMNS(Optimization!$AT$4:$BW$33))+1, MOD(ROW()-1, COLUMNS(Optimization!$AT$4:$BW$33))+1)</f>
        <v>0</v>
      </c>
    </row>
    <row r="544" spans="1:3" x14ac:dyDescent="0.25">
      <c r="A544">
        <v>544</v>
      </c>
      <c r="B544" cm="1">
        <f t="array" ref="B544">INDEX(Optimization!$F$4:$AI$33, INT((ROW()-1)/COLUMNS(Optimization!$F$4:$AI$33))+1, MOD(ROW()-1, COLUMNS(Optimization!$F$4:$AI$33))+1)</f>
        <v>-0.207852947118042</v>
      </c>
      <c r="C544" cm="1">
        <f t="array" ref="C544">INDEX(Optimization!$AT$4:$BW$33, INT((ROW()-1)/COLUMNS(Optimization!$AT$4:$BW$33))+1, MOD(ROW()-1, COLUMNS(Optimization!$AT$4:$BW$33))+1)</f>
        <v>0</v>
      </c>
    </row>
    <row r="545" spans="1:3" x14ac:dyDescent="0.25">
      <c r="A545">
        <v>545</v>
      </c>
      <c r="B545" cm="1">
        <f t="array" ref="B545">INDEX(Optimization!$F$4:$AI$33, INT((ROW()-1)/COLUMNS(Optimization!$F$4:$AI$33))+1, MOD(ROW()-1, COLUMNS(Optimization!$F$4:$AI$33))+1)</f>
        <v>-2.69957885563985E-2</v>
      </c>
      <c r="C545" cm="1">
        <f t="array" ref="C545">INDEX(Optimization!$AT$4:$BW$33, INT((ROW()-1)/COLUMNS(Optimization!$AT$4:$BW$33))+1, MOD(ROW()-1, COLUMNS(Optimization!$AT$4:$BW$33))+1)</f>
        <v>0</v>
      </c>
    </row>
    <row r="546" spans="1:3" x14ac:dyDescent="0.25">
      <c r="A546">
        <v>546</v>
      </c>
      <c r="B546" cm="1">
        <f t="array" ref="B546">INDEX(Optimization!$F$4:$AI$33, INT((ROW()-1)/COLUMNS(Optimization!$F$4:$AI$33))+1, MOD(ROW()-1, COLUMNS(Optimization!$F$4:$AI$33))+1)</f>
        <v>0.65332039723378499</v>
      </c>
      <c r="C546" cm="1">
        <f t="array" ref="C546">INDEX(Optimization!$AT$4:$BW$33, INT((ROW()-1)/COLUMNS(Optimization!$AT$4:$BW$33))+1, MOD(ROW()-1, COLUMNS(Optimization!$AT$4:$BW$33))+1)</f>
        <v>0</v>
      </c>
    </row>
    <row r="547" spans="1:3" x14ac:dyDescent="0.25">
      <c r="A547">
        <v>547</v>
      </c>
      <c r="B547" cm="1">
        <f t="array" ref="B547">INDEX(Optimization!$F$4:$AI$33, INT((ROW()-1)/COLUMNS(Optimization!$F$4:$AI$33))+1, MOD(ROW()-1, COLUMNS(Optimization!$F$4:$AI$33))+1)</f>
        <v>1.5719416109061499</v>
      </c>
      <c r="C547" cm="1">
        <f t="array" ref="C547">INDEX(Optimization!$AT$4:$BW$33, INT((ROW()-1)/COLUMNS(Optimization!$AT$4:$BW$33))+1, MOD(ROW()-1, COLUMNS(Optimization!$AT$4:$BW$33))+1)</f>
        <v>0</v>
      </c>
    </row>
    <row r="548" spans="1:3" x14ac:dyDescent="0.25">
      <c r="A548">
        <v>548</v>
      </c>
      <c r="B548" cm="1">
        <f t="array" ref="B548">INDEX(Optimization!$F$4:$AI$33, INT((ROW()-1)/COLUMNS(Optimization!$F$4:$AI$33))+1, MOD(ROW()-1, COLUMNS(Optimization!$F$4:$AI$33))+1)</f>
        <v>-0.92057907160016095</v>
      </c>
      <c r="C548" cm="1">
        <f t="array" ref="C548">INDEX(Optimization!$AT$4:$BW$33, INT((ROW()-1)/COLUMNS(Optimization!$AT$4:$BW$33))+1, MOD(ROW()-1, COLUMNS(Optimization!$AT$4:$BW$33))+1)</f>
        <v>0</v>
      </c>
    </row>
    <row r="549" spans="1:3" x14ac:dyDescent="0.25">
      <c r="A549">
        <v>549</v>
      </c>
      <c r="B549" cm="1">
        <f t="array" ref="B549">INDEX(Optimization!$F$4:$AI$33, INT((ROW()-1)/COLUMNS(Optimization!$F$4:$AI$33))+1, MOD(ROW()-1, COLUMNS(Optimization!$F$4:$AI$33))+1)</f>
        <v>-0.64275358759630596</v>
      </c>
      <c r="C549" cm="1">
        <f t="array" ref="C549">INDEX(Optimization!$AT$4:$BW$33, INT((ROW()-1)/COLUMNS(Optimization!$AT$4:$BW$33))+1, MOD(ROW()-1, COLUMNS(Optimization!$AT$4:$BW$33))+1)</f>
        <v>0</v>
      </c>
    </row>
    <row r="550" spans="1:3" x14ac:dyDescent="0.25">
      <c r="A550">
        <v>550</v>
      </c>
      <c r="B550" cm="1">
        <f t="array" ref="B550">INDEX(Optimization!$F$4:$AI$33, INT((ROW()-1)/COLUMNS(Optimization!$F$4:$AI$33))+1, MOD(ROW()-1, COLUMNS(Optimization!$F$4:$AI$33))+1)</f>
        <v>-5.48008954432605E-2</v>
      </c>
      <c r="C550" cm="1">
        <f t="array" ref="C550">INDEX(Optimization!$AT$4:$BW$33, INT((ROW()-1)/COLUMNS(Optimization!$AT$4:$BW$33))+1, MOD(ROW()-1, COLUMNS(Optimization!$AT$4:$BW$33))+1)</f>
        <v>0</v>
      </c>
    </row>
    <row r="551" spans="1:3" x14ac:dyDescent="0.25">
      <c r="A551">
        <v>551</v>
      </c>
      <c r="B551" cm="1">
        <f t="array" ref="B551">INDEX(Optimization!$F$4:$AI$33, INT((ROW()-1)/COLUMNS(Optimization!$F$4:$AI$33))+1, MOD(ROW()-1, COLUMNS(Optimization!$F$4:$AI$33))+1)</f>
        <v>3.6094076136446997E-4</v>
      </c>
      <c r="C551" cm="1">
        <f t="array" ref="C551">INDEX(Optimization!$AT$4:$BW$33, INT((ROW()-1)/COLUMNS(Optimization!$AT$4:$BW$33))+1, MOD(ROW()-1, COLUMNS(Optimization!$AT$4:$BW$33))+1)</f>
        <v>0</v>
      </c>
    </row>
    <row r="552" spans="1:3" x14ac:dyDescent="0.25">
      <c r="A552">
        <v>552</v>
      </c>
      <c r="B552" cm="1">
        <f t="array" ref="B552">INDEX(Optimization!$F$4:$AI$33, INT((ROW()-1)/COLUMNS(Optimization!$F$4:$AI$33))+1, MOD(ROW()-1, COLUMNS(Optimization!$F$4:$AI$33))+1)</f>
        <v>7.5558207879776296E-2</v>
      </c>
      <c r="C552" cm="1">
        <f t="array" ref="C552">INDEX(Optimization!$AT$4:$BW$33, INT((ROW()-1)/COLUMNS(Optimization!$AT$4:$BW$33))+1, MOD(ROW()-1, COLUMNS(Optimization!$AT$4:$BW$33))+1)</f>
        <v>0</v>
      </c>
    </row>
    <row r="553" spans="1:3" x14ac:dyDescent="0.25">
      <c r="A553">
        <v>553</v>
      </c>
      <c r="B553" cm="1">
        <f t="array" ref="B553">INDEX(Optimization!$F$4:$AI$33, INT((ROW()-1)/COLUMNS(Optimization!$F$4:$AI$33))+1, MOD(ROW()-1, COLUMNS(Optimization!$F$4:$AI$33))+1)</f>
        <v>-0.22094579075656001</v>
      </c>
      <c r="C553" cm="1">
        <f t="array" ref="C553">INDEX(Optimization!$AT$4:$BW$33, INT((ROW()-1)/COLUMNS(Optimization!$AT$4:$BW$33))+1, MOD(ROW()-1, COLUMNS(Optimization!$AT$4:$BW$33))+1)</f>
        <v>0</v>
      </c>
    </row>
    <row r="554" spans="1:3" x14ac:dyDescent="0.25">
      <c r="A554">
        <v>554</v>
      </c>
      <c r="B554" cm="1">
        <f t="array" ref="B554">INDEX(Optimization!$F$4:$AI$33, INT((ROW()-1)/COLUMNS(Optimization!$F$4:$AI$33))+1, MOD(ROW()-1, COLUMNS(Optimization!$F$4:$AI$33))+1)</f>
        <v>0.86242043911274302</v>
      </c>
      <c r="C554" cm="1">
        <f t="array" ref="C554">INDEX(Optimization!$AT$4:$BW$33, INT((ROW()-1)/COLUMNS(Optimization!$AT$4:$BW$33))+1, MOD(ROW()-1, COLUMNS(Optimization!$AT$4:$BW$33))+1)</f>
        <v>0</v>
      </c>
    </row>
    <row r="555" spans="1:3" x14ac:dyDescent="0.25">
      <c r="A555">
        <v>555</v>
      </c>
      <c r="B555" cm="1">
        <f t="array" ref="B555">INDEX(Optimization!$F$4:$AI$33, INT((ROW()-1)/COLUMNS(Optimization!$F$4:$AI$33))+1, MOD(ROW()-1, COLUMNS(Optimization!$F$4:$AI$33))+1)</f>
        <v>-0.64315702867429403</v>
      </c>
      <c r="C555" cm="1">
        <f t="array" ref="C555">INDEX(Optimization!$AT$4:$BW$33, INT((ROW()-1)/COLUMNS(Optimization!$AT$4:$BW$33))+1, MOD(ROW()-1, COLUMNS(Optimization!$AT$4:$BW$33))+1)</f>
        <v>0</v>
      </c>
    </row>
    <row r="556" spans="1:3" x14ac:dyDescent="0.25">
      <c r="A556">
        <v>556</v>
      </c>
      <c r="B556" cm="1">
        <f t="array" ref="B556">INDEX(Optimization!$F$4:$AI$33, INT((ROW()-1)/COLUMNS(Optimization!$F$4:$AI$33))+1, MOD(ROW()-1, COLUMNS(Optimization!$F$4:$AI$33))+1)</f>
        <v>0.14423326121792701</v>
      </c>
      <c r="C556" cm="1">
        <f t="array" ref="C556">INDEX(Optimization!$AT$4:$BW$33, INT((ROW()-1)/COLUMNS(Optimization!$AT$4:$BW$33))+1, MOD(ROW()-1, COLUMNS(Optimization!$AT$4:$BW$33))+1)</f>
        <v>0</v>
      </c>
    </row>
    <row r="557" spans="1:3" x14ac:dyDescent="0.25">
      <c r="A557">
        <v>557</v>
      </c>
      <c r="B557" cm="1">
        <f t="array" ref="B557">INDEX(Optimization!$F$4:$AI$33, INT((ROW()-1)/COLUMNS(Optimization!$F$4:$AI$33))+1, MOD(ROW()-1, COLUMNS(Optimization!$F$4:$AI$33))+1)</f>
        <v>0.69985713116894099</v>
      </c>
      <c r="C557" cm="1">
        <f t="array" ref="C557">INDEX(Optimization!$AT$4:$BW$33, INT((ROW()-1)/COLUMNS(Optimization!$AT$4:$BW$33))+1, MOD(ROW()-1, COLUMNS(Optimization!$AT$4:$BW$33))+1)</f>
        <v>0</v>
      </c>
    </row>
    <row r="558" spans="1:3" x14ac:dyDescent="0.25">
      <c r="A558">
        <v>558</v>
      </c>
      <c r="B558" cm="1">
        <f t="array" ref="B558">INDEX(Optimization!$F$4:$AI$33, INT((ROW()-1)/COLUMNS(Optimization!$F$4:$AI$33))+1, MOD(ROW()-1, COLUMNS(Optimization!$F$4:$AI$33))+1)</f>
        <v>0.26530616471912799</v>
      </c>
      <c r="C558" cm="1">
        <f t="array" ref="C558">INDEX(Optimization!$AT$4:$BW$33, INT((ROW()-1)/COLUMNS(Optimization!$AT$4:$BW$33))+1, MOD(ROW()-1, COLUMNS(Optimization!$AT$4:$BW$33))+1)</f>
        <v>0</v>
      </c>
    </row>
    <row r="559" spans="1:3" x14ac:dyDescent="0.25">
      <c r="A559">
        <v>559</v>
      </c>
      <c r="B559" cm="1">
        <f t="array" ref="B559">INDEX(Optimization!$F$4:$AI$33, INT((ROW()-1)/COLUMNS(Optimization!$F$4:$AI$33))+1, MOD(ROW()-1, COLUMNS(Optimization!$F$4:$AI$33))+1)</f>
        <v>0</v>
      </c>
      <c r="C559" cm="1">
        <f t="array" ref="C559">INDEX(Optimization!$AT$4:$BW$33, INT((ROW()-1)/COLUMNS(Optimization!$AT$4:$BW$33))+1, MOD(ROW()-1, COLUMNS(Optimization!$AT$4:$BW$33))+1)</f>
        <v>0</v>
      </c>
    </row>
    <row r="560" spans="1:3" x14ac:dyDescent="0.25">
      <c r="A560">
        <v>560</v>
      </c>
      <c r="B560" cm="1">
        <f t="array" ref="B560">INDEX(Optimization!$F$4:$AI$33, INT((ROW()-1)/COLUMNS(Optimization!$F$4:$AI$33))+1, MOD(ROW()-1, COLUMNS(Optimization!$F$4:$AI$33))+1)</f>
        <v>-0.30525218764474599</v>
      </c>
      <c r="C560" cm="1">
        <f t="array" ref="C560">INDEX(Optimization!$AT$4:$BW$33, INT((ROW()-1)/COLUMNS(Optimization!$AT$4:$BW$33))+1, MOD(ROW()-1, COLUMNS(Optimization!$AT$4:$BW$33))+1)</f>
        <v>0</v>
      </c>
    </row>
    <row r="561" spans="1:3" x14ac:dyDescent="0.25">
      <c r="A561">
        <v>561</v>
      </c>
      <c r="B561" cm="1">
        <f t="array" ref="B561">INDEX(Optimization!$F$4:$AI$33, INT((ROW()-1)/COLUMNS(Optimization!$F$4:$AI$33))+1, MOD(ROW()-1, COLUMNS(Optimization!$F$4:$AI$33))+1)</f>
        <v>-1.51960926393394</v>
      </c>
      <c r="C561" cm="1">
        <f t="array" ref="C561">INDEX(Optimization!$AT$4:$BW$33, INT((ROW()-1)/COLUMNS(Optimization!$AT$4:$BW$33))+1, MOD(ROW()-1, COLUMNS(Optimization!$AT$4:$BW$33))+1)</f>
        <v>0</v>
      </c>
    </row>
    <row r="562" spans="1:3" x14ac:dyDescent="0.25">
      <c r="A562">
        <v>562</v>
      </c>
      <c r="B562" cm="1">
        <f t="array" ref="B562">INDEX(Optimization!$F$4:$AI$33, INT((ROW()-1)/COLUMNS(Optimization!$F$4:$AI$33))+1, MOD(ROW()-1, COLUMNS(Optimization!$F$4:$AI$33))+1)</f>
        <v>-0.33322338043646499</v>
      </c>
      <c r="C562" cm="1">
        <f t="array" ref="C562">INDEX(Optimization!$AT$4:$BW$33, INT((ROW()-1)/COLUMNS(Optimization!$AT$4:$BW$33))+1, MOD(ROW()-1, COLUMNS(Optimization!$AT$4:$BW$33))+1)</f>
        <v>0</v>
      </c>
    </row>
    <row r="563" spans="1:3" x14ac:dyDescent="0.25">
      <c r="A563">
        <v>563</v>
      </c>
      <c r="B563" cm="1">
        <f t="array" ref="B563">INDEX(Optimization!$F$4:$AI$33, INT((ROW()-1)/COLUMNS(Optimization!$F$4:$AI$33))+1, MOD(ROW()-1, COLUMNS(Optimization!$F$4:$AI$33))+1)</f>
        <v>0.23050881025188799</v>
      </c>
      <c r="C563" cm="1">
        <f t="array" ref="C563">INDEX(Optimization!$AT$4:$BW$33, INT((ROW()-1)/COLUMNS(Optimization!$AT$4:$BW$33))+1, MOD(ROW()-1, COLUMNS(Optimization!$AT$4:$BW$33))+1)</f>
        <v>0</v>
      </c>
    </row>
    <row r="564" spans="1:3" x14ac:dyDescent="0.25">
      <c r="A564">
        <v>564</v>
      </c>
      <c r="B564" cm="1">
        <f t="array" ref="B564">INDEX(Optimization!$F$4:$AI$33, INT((ROW()-1)/COLUMNS(Optimization!$F$4:$AI$33))+1, MOD(ROW()-1, COLUMNS(Optimization!$F$4:$AI$33))+1)</f>
        <v>0.298253837986107</v>
      </c>
      <c r="C564" cm="1">
        <f t="array" ref="C564">INDEX(Optimization!$AT$4:$BW$33, INT((ROW()-1)/COLUMNS(Optimization!$AT$4:$BW$33))+1, MOD(ROW()-1, COLUMNS(Optimization!$AT$4:$BW$33))+1)</f>
        <v>0</v>
      </c>
    </row>
    <row r="565" spans="1:3" x14ac:dyDescent="0.25">
      <c r="A565">
        <v>565</v>
      </c>
      <c r="B565" cm="1">
        <f t="array" ref="B565">INDEX(Optimization!$F$4:$AI$33, INT((ROW()-1)/COLUMNS(Optimization!$F$4:$AI$33))+1, MOD(ROW()-1, COLUMNS(Optimization!$F$4:$AI$33))+1)</f>
        <v>-0.36664155285211603</v>
      </c>
      <c r="C565" cm="1">
        <f t="array" ref="C565">INDEX(Optimization!$AT$4:$BW$33, INT((ROW()-1)/COLUMNS(Optimization!$AT$4:$BW$33))+1, MOD(ROW()-1, COLUMNS(Optimization!$AT$4:$BW$33))+1)</f>
        <v>0</v>
      </c>
    </row>
    <row r="566" spans="1:3" x14ac:dyDescent="0.25">
      <c r="A566">
        <v>566</v>
      </c>
      <c r="B566" cm="1">
        <f t="array" ref="B566">INDEX(Optimization!$F$4:$AI$33, INT((ROW()-1)/COLUMNS(Optimization!$F$4:$AI$33))+1, MOD(ROW()-1, COLUMNS(Optimization!$F$4:$AI$33))+1)</f>
        <v>0.14290744819338499</v>
      </c>
      <c r="C566" cm="1">
        <f t="array" ref="C566">INDEX(Optimization!$AT$4:$BW$33, INT((ROW()-1)/COLUMNS(Optimization!$AT$4:$BW$33))+1, MOD(ROW()-1, COLUMNS(Optimization!$AT$4:$BW$33))+1)</f>
        <v>0</v>
      </c>
    </row>
    <row r="567" spans="1:3" x14ac:dyDescent="0.25">
      <c r="A567">
        <v>567</v>
      </c>
      <c r="B567" cm="1">
        <f t="array" ref="B567">INDEX(Optimization!$F$4:$AI$33, INT((ROW()-1)/COLUMNS(Optimization!$F$4:$AI$33))+1, MOD(ROW()-1, COLUMNS(Optimization!$F$4:$AI$33))+1)</f>
        <v>-0.81257225324690097</v>
      </c>
      <c r="C567" cm="1">
        <f t="array" ref="C567">INDEX(Optimization!$AT$4:$BW$33, INT((ROW()-1)/COLUMNS(Optimization!$AT$4:$BW$33))+1, MOD(ROW()-1, COLUMNS(Optimization!$AT$4:$BW$33))+1)</f>
        <v>0</v>
      </c>
    </row>
    <row r="568" spans="1:3" x14ac:dyDescent="0.25">
      <c r="A568">
        <v>568</v>
      </c>
      <c r="B568" cm="1">
        <f t="array" ref="B568">INDEX(Optimization!$F$4:$AI$33, INT((ROW()-1)/COLUMNS(Optimization!$F$4:$AI$33))+1, MOD(ROW()-1, COLUMNS(Optimization!$F$4:$AI$33))+1)</f>
        <v>-1.49048333217549</v>
      </c>
      <c r="C568" cm="1">
        <f t="array" ref="C568">INDEX(Optimization!$AT$4:$BW$33, INT((ROW()-1)/COLUMNS(Optimization!$AT$4:$BW$33))+1, MOD(ROW()-1, COLUMNS(Optimization!$AT$4:$BW$33))+1)</f>
        <v>0</v>
      </c>
    </row>
    <row r="569" spans="1:3" x14ac:dyDescent="0.25">
      <c r="A569">
        <v>569</v>
      </c>
      <c r="B569" cm="1">
        <f t="array" ref="B569">INDEX(Optimization!$F$4:$AI$33, INT((ROW()-1)/COLUMNS(Optimization!$F$4:$AI$33))+1, MOD(ROW()-1, COLUMNS(Optimization!$F$4:$AI$33))+1)</f>
        <v>-4.2460111167729103E-2</v>
      </c>
      <c r="C569" cm="1">
        <f t="array" ref="C569">INDEX(Optimization!$AT$4:$BW$33, INT((ROW()-1)/COLUMNS(Optimization!$AT$4:$BW$33))+1, MOD(ROW()-1, COLUMNS(Optimization!$AT$4:$BW$33))+1)</f>
        <v>0</v>
      </c>
    </row>
    <row r="570" spans="1:3" x14ac:dyDescent="0.25">
      <c r="A570">
        <v>570</v>
      </c>
      <c r="B570" cm="1">
        <f t="array" ref="B570">INDEX(Optimization!$F$4:$AI$33, INT((ROW()-1)/COLUMNS(Optimization!$F$4:$AI$33))+1, MOD(ROW()-1, COLUMNS(Optimization!$F$4:$AI$33))+1)</f>
        <v>-1.65661371108706</v>
      </c>
      <c r="C570" cm="1">
        <f t="array" ref="C570">INDEX(Optimization!$AT$4:$BW$33, INT((ROW()-1)/COLUMNS(Optimization!$AT$4:$BW$33))+1, MOD(ROW()-1, COLUMNS(Optimization!$AT$4:$BW$33))+1)</f>
        <v>0</v>
      </c>
    </row>
    <row r="571" spans="1:3" x14ac:dyDescent="0.25">
      <c r="A571">
        <v>571</v>
      </c>
      <c r="B571" cm="1">
        <f t="array" ref="B571">INDEX(Optimization!$F$4:$AI$33, INT((ROW()-1)/COLUMNS(Optimization!$F$4:$AI$33))+1, MOD(ROW()-1, COLUMNS(Optimization!$F$4:$AI$33))+1)</f>
        <v>0.54829275156579604</v>
      </c>
      <c r="C571" cm="1">
        <f t="array" ref="C571">INDEX(Optimization!$AT$4:$BW$33, INT((ROW()-1)/COLUMNS(Optimization!$AT$4:$BW$33))+1, MOD(ROW()-1, COLUMNS(Optimization!$AT$4:$BW$33))+1)</f>
        <v>0</v>
      </c>
    </row>
    <row r="572" spans="1:3" x14ac:dyDescent="0.25">
      <c r="A572">
        <v>572</v>
      </c>
      <c r="B572" cm="1">
        <f t="array" ref="B572">INDEX(Optimization!$F$4:$AI$33, INT((ROW()-1)/COLUMNS(Optimization!$F$4:$AI$33))+1, MOD(ROW()-1, COLUMNS(Optimization!$F$4:$AI$33))+1)</f>
        <v>0.65205850657589703</v>
      </c>
      <c r="C572" cm="1">
        <f t="array" ref="C572">INDEX(Optimization!$AT$4:$BW$33, INT((ROW()-1)/COLUMNS(Optimization!$AT$4:$BW$33))+1, MOD(ROW()-1, COLUMNS(Optimization!$AT$4:$BW$33))+1)</f>
        <v>0</v>
      </c>
    </row>
    <row r="573" spans="1:3" x14ac:dyDescent="0.25">
      <c r="A573">
        <v>573</v>
      </c>
      <c r="B573" cm="1">
        <f t="array" ref="B573">INDEX(Optimization!$F$4:$AI$33, INT((ROW()-1)/COLUMNS(Optimization!$F$4:$AI$33))+1, MOD(ROW()-1, COLUMNS(Optimization!$F$4:$AI$33))+1)</f>
        <v>1.0921517707169399</v>
      </c>
      <c r="C573" cm="1">
        <f t="array" ref="C573">INDEX(Optimization!$AT$4:$BW$33, INT((ROW()-1)/COLUMNS(Optimization!$AT$4:$BW$33))+1, MOD(ROW()-1, COLUMNS(Optimization!$AT$4:$BW$33))+1)</f>
        <v>0</v>
      </c>
    </row>
    <row r="574" spans="1:3" x14ac:dyDescent="0.25">
      <c r="A574">
        <v>574</v>
      </c>
      <c r="B574" cm="1">
        <f t="array" ref="B574">INDEX(Optimization!$F$4:$AI$33, INT((ROW()-1)/COLUMNS(Optimization!$F$4:$AI$33))+1, MOD(ROW()-1, COLUMNS(Optimization!$F$4:$AI$33))+1)</f>
        <v>-0.71386832252584298</v>
      </c>
      <c r="C574" cm="1">
        <f t="array" ref="C574">INDEX(Optimization!$AT$4:$BW$33, INT((ROW()-1)/COLUMNS(Optimization!$AT$4:$BW$33))+1, MOD(ROW()-1, COLUMNS(Optimization!$AT$4:$BW$33))+1)</f>
        <v>0</v>
      </c>
    </row>
    <row r="575" spans="1:3" x14ac:dyDescent="0.25">
      <c r="A575">
        <v>575</v>
      </c>
      <c r="B575" cm="1">
        <f t="array" ref="B575">INDEX(Optimization!$F$4:$AI$33, INT((ROW()-1)/COLUMNS(Optimization!$F$4:$AI$33))+1, MOD(ROW()-1, COLUMNS(Optimization!$F$4:$AI$33))+1)</f>
        <v>0.60578288968523197</v>
      </c>
      <c r="C575" cm="1">
        <f t="array" ref="C575">INDEX(Optimization!$AT$4:$BW$33, INT((ROW()-1)/COLUMNS(Optimization!$AT$4:$BW$33))+1, MOD(ROW()-1, COLUMNS(Optimization!$AT$4:$BW$33))+1)</f>
        <v>0</v>
      </c>
    </row>
    <row r="576" spans="1:3" x14ac:dyDescent="0.25">
      <c r="A576">
        <v>576</v>
      </c>
      <c r="B576" cm="1">
        <f t="array" ref="B576">INDEX(Optimization!$F$4:$AI$33, INT((ROW()-1)/COLUMNS(Optimization!$F$4:$AI$33))+1, MOD(ROW()-1, COLUMNS(Optimization!$F$4:$AI$33))+1)</f>
        <v>0.23001231850234799</v>
      </c>
      <c r="C576" cm="1">
        <f t="array" ref="C576">INDEX(Optimization!$AT$4:$BW$33, INT((ROW()-1)/COLUMNS(Optimization!$AT$4:$BW$33))+1, MOD(ROW()-1, COLUMNS(Optimization!$AT$4:$BW$33))+1)</f>
        <v>0</v>
      </c>
    </row>
    <row r="577" spans="1:3" x14ac:dyDescent="0.25">
      <c r="A577">
        <v>577</v>
      </c>
      <c r="B577" cm="1">
        <f t="array" ref="B577">INDEX(Optimization!$F$4:$AI$33, INT((ROW()-1)/COLUMNS(Optimization!$F$4:$AI$33))+1, MOD(ROW()-1, COLUMNS(Optimization!$F$4:$AI$33))+1)</f>
        <v>0.88560793846395502</v>
      </c>
      <c r="C577" cm="1">
        <f t="array" ref="C577">INDEX(Optimization!$AT$4:$BW$33, INT((ROW()-1)/COLUMNS(Optimization!$AT$4:$BW$33))+1, MOD(ROW()-1, COLUMNS(Optimization!$AT$4:$BW$33))+1)</f>
        <v>0</v>
      </c>
    </row>
    <row r="578" spans="1:3" x14ac:dyDescent="0.25">
      <c r="A578">
        <v>578</v>
      </c>
      <c r="B578" cm="1">
        <f t="array" ref="B578">INDEX(Optimization!$F$4:$AI$33, INT((ROW()-1)/COLUMNS(Optimization!$F$4:$AI$33))+1, MOD(ROW()-1, COLUMNS(Optimization!$F$4:$AI$33))+1)</f>
        <v>0.155675627749193</v>
      </c>
      <c r="C578" cm="1">
        <f t="array" ref="C578">INDEX(Optimization!$AT$4:$BW$33, INT((ROW()-1)/COLUMNS(Optimization!$AT$4:$BW$33))+1, MOD(ROW()-1, COLUMNS(Optimization!$AT$4:$BW$33))+1)</f>
        <v>0</v>
      </c>
    </row>
    <row r="579" spans="1:3" x14ac:dyDescent="0.25">
      <c r="A579">
        <v>579</v>
      </c>
      <c r="B579" cm="1">
        <f t="array" ref="B579">INDEX(Optimization!$F$4:$AI$33, INT((ROW()-1)/COLUMNS(Optimization!$F$4:$AI$33))+1, MOD(ROW()-1, COLUMNS(Optimization!$F$4:$AI$33))+1)</f>
        <v>0.57643110280546395</v>
      </c>
      <c r="C579" cm="1">
        <f t="array" ref="C579">INDEX(Optimization!$AT$4:$BW$33, INT((ROW()-1)/COLUMNS(Optimization!$AT$4:$BW$33))+1, MOD(ROW()-1, COLUMNS(Optimization!$AT$4:$BW$33))+1)</f>
        <v>0</v>
      </c>
    </row>
    <row r="580" spans="1:3" x14ac:dyDescent="0.25">
      <c r="A580">
        <v>580</v>
      </c>
      <c r="B580" cm="1">
        <f t="array" ref="B580">INDEX(Optimization!$F$4:$AI$33, INT((ROW()-1)/COLUMNS(Optimization!$F$4:$AI$33))+1, MOD(ROW()-1, COLUMNS(Optimization!$F$4:$AI$33))+1)</f>
        <v>0.80569316291118898</v>
      </c>
      <c r="C580" cm="1">
        <f t="array" ref="C580">INDEX(Optimization!$AT$4:$BW$33, INT((ROW()-1)/COLUMNS(Optimization!$AT$4:$BW$33))+1, MOD(ROW()-1, COLUMNS(Optimization!$AT$4:$BW$33))+1)</f>
        <v>0</v>
      </c>
    </row>
    <row r="581" spans="1:3" x14ac:dyDescent="0.25">
      <c r="A581">
        <v>581</v>
      </c>
      <c r="B581" cm="1">
        <f t="array" ref="B581">INDEX(Optimization!$F$4:$AI$33, INT((ROW()-1)/COLUMNS(Optimization!$F$4:$AI$33))+1, MOD(ROW()-1, COLUMNS(Optimization!$F$4:$AI$33))+1)</f>
        <v>-0.29112360880141303</v>
      </c>
      <c r="C581" cm="1">
        <f t="array" ref="C581">INDEX(Optimization!$AT$4:$BW$33, INT((ROW()-1)/COLUMNS(Optimization!$AT$4:$BW$33))+1, MOD(ROW()-1, COLUMNS(Optimization!$AT$4:$BW$33))+1)</f>
        <v>0</v>
      </c>
    </row>
    <row r="582" spans="1:3" x14ac:dyDescent="0.25">
      <c r="A582">
        <v>582</v>
      </c>
      <c r="B582" cm="1">
        <f t="array" ref="B582">INDEX(Optimization!$F$4:$AI$33, INT((ROW()-1)/COLUMNS(Optimization!$F$4:$AI$33))+1, MOD(ROW()-1, COLUMNS(Optimization!$F$4:$AI$33))+1)</f>
        <v>-0.326022257266115</v>
      </c>
      <c r="C582" cm="1">
        <f t="array" ref="C582">INDEX(Optimization!$AT$4:$BW$33, INT((ROW()-1)/COLUMNS(Optimization!$AT$4:$BW$33))+1, MOD(ROW()-1, COLUMNS(Optimization!$AT$4:$BW$33))+1)</f>
        <v>0</v>
      </c>
    </row>
    <row r="583" spans="1:3" x14ac:dyDescent="0.25">
      <c r="A583">
        <v>583</v>
      </c>
      <c r="B583" cm="1">
        <f t="array" ref="B583">INDEX(Optimization!$F$4:$AI$33, INT((ROW()-1)/COLUMNS(Optimization!$F$4:$AI$33))+1, MOD(ROW()-1, COLUMNS(Optimization!$F$4:$AI$33))+1)</f>
        <v>-0.93977928822118595</v>
      </c>
      <c r="C583" cm="1">
        <f t="array" ref="C583">INDEX(Optimization!$AT$4:$BW$33, INT((ROW()-1)/COLUMNS(Optimization!$AT$4:$BW$33))+1, MOD(ROW()-1, COLUMNS(Optimization!$AT$4:$BW$33))+1)</f>
        <v>0</v>
      </c>
    </row>
    <row r="584" spans="1:3" x14ac:dyDescent="0.25">
      <c r="A584">
        <v>584</v>
      </c>
      <c r="B584" cm="1">
        <f t="array" ref="B584">INDEX(Optimization!$F$4:$AI$33, INT((ROW()-1)/COLUMNS(Optimization!$F$4:$AI$33))+1, MOD(ROW()-1, COLUMNS(Optimization!$F$4:$AI$33))+1)</f>
        <v>-6.18719720343388E-2</v>
      </c>
      <c r="C584" cm="1">
        <f t="array" ref="C584">INDEX(Optimization!$AT$4:$BW$33, INT((ROW()-1)/COLUMNS(Optimization!$AT$4:$BW$33))+1, MOD(ROW()-1, COLUMNS(Optimization!$AT$4:$BW$33))+1)</f>
        <v>0</v>
      </c>
    </row>
    <row r="585" spans="1:3" x14ac:dyDescent="0.25">
      <c r="A585">
        <v>585</v>
      </c>
      <c r="B585" cm="1">
        <f t="array" ref="B585">INDEX(Optimization!$F$4:$AI$33, INT((ROW()-1)/COLUMNS(Optimization!$F$4:$AI$33))+1, MOD(ROW()-1, COLUMNS(Optimization!$F$4:$AI$33))+1)</f>
        <v>0.251338266530793</v>
      </c>
      <c r="C585" cm="1">
        <f t="array" ref="C585">INDEX(Optimization!$AT$4:$BW$33, INT((ROW()-1)/COLUMNS(Optimization!$AT$4:$BW$33))+1, MOD(ROW()-1, COLUMNS(Optimization!$AT$4:$BW$33))+1)</f>
        <v>0</v>
      </c>
    </row>
    <row r="586" spans="1:3" x14ac:dyDescent="0.25">
      <c r="A586">
        <v>586</v>
      </c>
      <c r="B586" cm="1">
        <f t="array" ref="B586">INDEX(Optimization!$F$4:$AI$33, INT((ROW()-1)/COLUMNS(Optimization!$F$4:$AI$33))+1, MOD(ROW()-1, COLUMNS(Optimization!$F$4:$AI$33))+1)</f>
        <v>-0.52547843377165404</v>
      </c>
      <c r="C586" cm="1">
        <f t="array" ref="C586">INDEX(Optimization!$AT$4:$BW$33, INT((ROW()-1)/COLUMNS(Optimization!$AT$4:$BW$33))+1, MOD(ROW()-1, COLUMNS(Optimization!$AT$4:$BW$33))+1)</f>
        <v>0</v>
      </c>
    </row>
    <row r="587" spans="1:3" x14ac:dyDescent="0.25">
      <c r="A587">
        <v>587</v>
      </c>
      <c r="B587" cm="1">
        <f t="array" ref="B587">INDEX(Optimization!$F$4:$AI$33, INT((ROW()-1)/COLUMNS(Optimization!$F$4:$AI$33))+1, MOD(ROW()-1, COLUMNS(Optimization!$F$4:$AI$33))+1)</f>
        <v>5.0933385325006297E-2</v>
      </c>
      <c r="C587" cm="1">
        <f t="array" ref="C587">INDEX(Optimization!$AT$4:$BW$33, INT((ROW()-1)/COLUMNS(Optimization!$AT$4:$BW$33))+1, MOD(ROW()-1, COLUMNS(Optimization!$AT$4:$BW$33))+1)</f>
        <v>0</v>
      </c>
    </row>
    <row r="588" spans="1:3" x14ac:dyDescent="0.25">
      <c r="A588">
        <v>588</v>
      </c>
      <c r="B588" cm="1">
        <f t="array" ref="B588">INDEX(Optimization!$F$4:$AI$33, INT((ROW()-1)/COLUMNS(Optimization!$F$4:$AI$33))+1, MOD(ROW()-1, COLUMNS(Optimization!$F$4:$AI$33))+1)</f>
        <v>-0.25201523313128898</v>
      </c>
      <c r="C588" cm="1">
        <f t="array" ref="C588">INDEX(Optimization!$AT$4:$BW$33, INT((ROW()-1)/COLUMNS(Optimization!$AT$4:$BW$33))+1, MOD(ROW()-1, COLUMNS(Optimization!$AT$4:$BW$33))+1)</f>
        <v>0</v>
      </c>
    </row>
    <row r="589" spans="1:3" x14ac:dyDescent="0.25">
      <c r="A589">
        <v>589</v>
      </c>
      <c r="B589" cm="1">
        <f t="array" ref="B589">INDEX(Optimization!$F$4:$AI$33, INT((ROW()-1)/COLUMNS(Optimization!$F$4:$AI$33))+1, MOD(ROW()-1, COLUMNS(Optimization!$F$4:$AI$33))+1)</f>
        <v>-0.30525218764474599</v>
      </c>
      <c r="C589" cm="1">
        <f t="array" ref="C589">INDEX(Optimization!$AT$4:$BW$33, INT((ROW()-1)/COLUMNS(Optimization!$AT$4:$BW$33))+1, MOD(ROW()-1, COLUMNS(Optimization!$AT$4:$BW$33))+1)</f>
        <v>0</v>
      </c>
    </row>
    <row r="590" spans="1:3" x14ac:dyDescent="0.25">
      <c r="A590">
        <v>590</v>
      </c>
      <c r="B590" cm="1">
        <f t="array" ref="B590">INDEX(Optimization!$F$4:$AI$33, INT((ROW()-1)/COLUMNS(Optimization!$F$4:$AI$33))+1, MOD(ROW()-1, COLUMNS(Optimization!$F$4:$AI$33))+1)</f>
        <v>0</v>
      </c>
      <c r="C590" cm="1">
        <f t="array" ref="C590">INDEX(Optimization!$AT$4:$BW$33, INT((ROW()-1)/COLUMNS(Optimization!$AT$4:$BW$33))+1, MOD(ROW()-1, COLUMNS(Optimization!$AT$4:$BW$33))+1)</f>
        <v>0</v>
      </c>
    </row>
    <row r="591" spans="1:3" x14ac:dyDescent="0.25">
      <c r="A591">
        <v>591</v>
      </c>
      <c r="B591" cm="1">
        <f t="array" ref="B591">INDEX(Optimization!$F$4:$AI$33, INT((ROW()-1)/COLUMNS(Optimization!$F$4:$AI$33))+1, MOD(ROW()-1, COLUMNS(Optimization!$F$4:$AI$33))+1)</f>
        <v>-1.1562869303799801</v>
      </c>
      <c r="C591" cm="1">
        <f t="array" ref="C591">INDEX(Optimization!$AT$4:$BW$33, INT((ROW()-1)/COLUMNS(Optimization!$AT$4:$BW$33))+1, MOD(ROW()-1, COLUMNS(Optimization!$AT$4:$BW$33))+1)</f>
        <v>0</v>
      </c>
    </row>
    <row r="592" spans="1:3" x14ac:dyDescent="0.25">
      <c r="A592">
        <v>592</v>
      </c>
      <c r="B592" cm="1">
        <f t="array" ref="B592">INDEX(Optimization!$F$4:$AI$33, INT((ROW()-1)/COLUMNS(Optimization!$F$4:$AI$33))+1, MOD(ROW()-1, COLUMNS(Optimization!$F$4:$AI$33))+1)</f>
        <v>1.2269910886197499</v>
      </c>
      <c r="C592" cm="1">
        <f t="array" ref="C592">INDEX(Optimization!$AT$4:$BW$33, INT((ROW()-1)/COLUMNS(Optimization!$AT$4:$BW$33))+1, MOD(ROW()-1, COLUMNS(Optimization!$AT$4:$BW$33))+1)</f>
        <v>0</v>
      </c>
    </row>
    <row r="593" spans="1:3" x14ac:dyDescent="0.25">
      <c r="A593">
        <v>593</v>
      </c>
      <c r="B593" cm="1">
        <f t="array" ref="B593">INDEX(Optimization!$F$4:$AI$33, INT((ROW()-1)/COLUMNS(Optimization!$F$4:$AI$33))+1, MOD(ROW()-1, COLUMNS(Optimization!$F$4:$AI$33))+1)</f>
        <v>0.65395827752189095</v>
      </c>
      <c r="C593" cm="1">
        <f t="array" ref="C593">INDEX(Optimization!$AT$4:$BW$33, INT((ROW()-1)/COLUMNS(Optimization!$AT$4:$BW$33))+1, MOD(ROW()-1, COLUMNS(Optimization!$AT$4:$BW$33))+1)</f>
        <v>0</v>
      </c>
    </row>
    <row r="594" spans="1:3" x14ac:dyDescent="0.25">
      <c r="A594">
        <v>594</v>
      </c>
      <c r="B594" cm="1">
        <f t="array" ref="B594">INDEX(Optimization!$F$4:$AI$33, INT((ROW()-1)/COLUMNS(Optimization!$F$4:$AI$33))+1, MOD(ROW()-1, COLUMNS(Optimization!$F$4:$AI$33))+1)</f>
        <v>-0.25654466379063001</v>
      </c>
      <c r="C594" cm="1">
        <f t="array" ref="C594">INDEX(Optimization!$AT$4:$BW$33, INT((ROW()-1)/COLUMNS(Optimization!$AT$4:$BW$33))+1, MOD(ROW()-1, COLUMNS(Optimization!$AT$4:$BW$33))+1)</f>
        <v>0</v>
      </c>
    </row>
    <row r="595" spans="1:3" x14ac:dyDescent="0.25">
      <c r="A595">
        <v>595</v>
      </c>
      <c r="B595" cm="1">
        <f t="array" ref="B595">INDEX(Optimization!$F$4:$AI$33, INT((ROW()-1)/COLUMNS(Optimization!$F$4:$AI$33))+1, MOD(ROW()-1, COLUMNS(Optimization!$F$4:$AI$33))+1)</f>
        <v>0.37828975634837098</v>
      </c>
      <c r="C595" cm="1">
        <f t="array" ref="C595">INDEX(Optimization!$AT$4:$BW$33, INT((ROW()-1)/COLUMNS(Optimization!$AT$4:$BW$33))+1, MOD(ROW()-1, COLUMNS(Optimization!$AT$4:$BW$33))+1)</f>
        <v>0</v>
      </c>
    </row>
    <row r="596" spans="1:3" x14ac:dyDescent="0.25">
      <c r="A596">
        <v>596</v>
      </c>
      <c r="B596" cm="1">
        <f t="array" ref="B596">INDEX(Optimization!$F$4:$AI$33, INT((ROW()-1)/COLUMNS(Optimization!$F$4:$AI$33))+1, MOD(ROW()-1, COLUMNS(Optimization!$F$4:$AI$33))+1)</f>
        <v>0.61960257545445796</v>
      </c>
      <c r="C596" cm="1">
        <f t="array" ref="C596">INDEX(Optimization!$AT$4:$BW$33, INT((ROW()-1)/COLUMNS(Optimization!$AT$4:$BW$33))+1, MOD(ROW()-1, COLUMNS(Optimization!$AT$4:$BW$33))+1)</f>
        <v>0</v>
      </c>
    </row>
    <row r="597" spans="1:3" x14ac:dyDescent="0.25">
      <c r="A597">
        <v>597</v>
      </c>
      <c r="B597" cm="1">
        <f t="array" ref="B597">INDEX(Optimization!$F$4:$AI$33, INT((ROW()-1)/COLUMNS(Optimization!$F$4:$AI$33))+1, MOD(ROW()-1, COLUMNS(Optimization!$F$4:$AI$33))+1)</f>
        <v>-0.92492516117919998</v>
      </c>
      <c r="C597" cm="1">
        <f t="array" ref="C597">INDEX(Optimization!$AT$4:$BW$33, INT((ROW()-1)/COLUMNS(Optimization!$AT$4:$BW$33))+1, MOD(ROW()-1, COLUMNS(Optimization!$AT$4:$BW$33))+1)</f>
        <v>0</v>
      </c>
    </row>
    <row r="598" spans="1:3" x14ac:dyDescent="0.25">
      <c r="A598">
        <v>598</v>
      </c>
      <c r="B598" cm="1">
        <f t="array" ref="B598">INDEX(Optimization!$F$4:$AI$33, INT((ROW()-1)/COLUMNS(Optimization!$F$4:$AI$33))+1, MOD(ROW()-1, COLUMNS(Optimization!$F$4:$AI$33))+1)</f>
        <v>-0.38879342444725101</v>
      </c>
      <c r="C598" cm="1">
        <f t="array" ref="C598">INDEX(Optimization!$AT$4:$BW$33, INT((ROW()-1)/COLUMNS(Optimization!$AT$4:$BW$33))+1, MOD(ROW()-1, COLUMNS(Optimization!$AT$4:$BW$33))+1)</f>
        <v>0</v>
      </c>
    </row>
    <row r="599" spans="1:3" x14ac:dyDescent="0.25">
      <c r="A599">
        <v>599</v>
      </c>
      <c r="B599" cm="1">
        <f t="array" ref="B599">INDEX(Optimization!$F$4:$AI$33, INT((ROW()-1)/COLUMNS(Optimization!$F$4:$AI$33))+1, MOD(ROW()-1, COLUMNS(Optimization!$F$4:$AI$33))+1)</f>
        <v>0.97983129588014894</v>
      </c>
      <c r="C599" cm="1">
        <f t="array" ref="C599">INDEX(Optimization!$AT$4:$BW$33, INT((ROW()-1)/COLUMNS(Optimization!$AT$4:$BW$33))+1, MOD(ROW()-1, COLUMNS(Optimization!$AT$4:$BW$33))+1)</f>
        <v>0</v>
      </c>
    </row>
    <row r="600" spans="1:3" x14ac:dyDescent="0.25">
      <c r="A600">
        <v>600</v>
      </c>
      <c r="B600" cm="1">
        <f t="array" ref="B600">INDEX(Optimization!$F$4:$AI$33, INT((ROW()-1)/COLUMNS(Optimization!$F$4:$AI$33))+1, MOD(ROW()-1, COLUMNS(Optimization!$F$4:$AI$33))+1)</f>
        <v>-0.65517921720258798</v>
      </c>
      <c r="C600" cm="1">
        <f t="array" ref="C600">INDEX(Optimization!$AT$4:$BW$33, INT((ROW()-1)/COLUMNS(Optimization!$AT$4:$BW$33))+1, MOD(ROW()-1, COLUMNS(Optimization!$AT$4:$BW$33))+1)</f>
        <v>0</v>
      </c>
    </row>
    <row r="601" spans="1:3" x14ac:dyDescent="0.25">
      <c r="A601">
        <v>601</v>
      </c>
      <c r="B601" cm="1">
        <f t="array" ref="B601">INDEX(Optimization!$F$4:$AI$33, INT((ROW()-1)/COLUMNS(Optimization!$F$4:$AI$33))+1, MOD(ROW()-1, COLUMNS(Optimization!$F$4:$AI$33))+1)</f>
        <v>-0.48096575605381903</v>
      </c>
      <c r="C601" cm="1">
        <f t="array" ref="C601">INDEX(Optimization!$AT$4:$BW$33, INT((ROW()-1)/COLUMNS(Optimization!$AT$4:$BW$33))+1, MOD(ROW()-1, COLUMNS(Optimization!$AT$4:$BW$33))+1)</f>
        <v>0</v>
      </c>
    </row>
    <row r="602" spans="1:3" x14ac:dyDescent="0.25">
      <c r="A602">
        <v>602</v>
      </c>
      <c r="B602" cm="1">
        <f t="array" ref="B602">INDEX(Optimization!$F$4:$AI$33, INT((ROW()-1)/COLUMNS(Optimization!$F$4:$AI$33))+1, MOD(ROW()-1, COLUMNS(Optimization!$F$4:$AI$33))+1)</f>
        <v>-1.2483209207069501</v>
      </c>
      <c r="C602" cm="1">
        <f t="array" ref="C602">INDEX(Optimization!$AT$4:$BW$33, INT((ROW()-1)/COLUMNS(Optimization!$AT$4:$BW$33))+1, MOD(ROW()-1, COLUMNS(Optimization!$AT$4:$BW$33))+1)</f>
        <v>0</v>
      </c>
    </row>
    <row r="603" spans="1:3" x14ac:dyDescent="0.25">
      <c r="A603">
        <v>603</v>
      </c>
      <c r="B603" cm="1">
        <f t="array" ref="B603">INDEX(Optimization!$F$4:$AI$33, INT((ROW()-1)/COLUMNS(Optimization!$F$4:$AI$33))+1, MOD(ROW()-1, COLUMNS(Optimization!$F$4:$AI$33))+1)</f>
        <v>-0.68134527140788304</v>
      </c>
      <c r="C603" cm="1">
        <f t="array" ref="C603">INDEX(Optimization!$AT$4:$BW$33, INT((ROW()-1)/COLUMNS(Optimization!$AT$4:$BW$33))+1, MOD(ROW()-1, COLUMNS(Optimization!$AT$4:$BW$33))+1)</f>
        <v>0</v>
      </c>
    </row>
    <row r="604" spans="1:3" x14ac:dyDescent="0.25">
      <c r="A604">
        <v>604</v>
      </c>
      <c r="B604" cm="1">
        <f t="array" ref="B604">INDEX(Optimization!$F$4:$AI$33, INT((ROW()-1)/COLUMNS(Optimization!$F$4:$AI$33))+1, MOD(ROW()-1, COLUMNS(Optimization!$F$4:$AI$33))+1)</f>
        <v>-0.45653121574667499</v>
      </c>
      <c r="C604" cm="1">
        <f t="array" ref="C604">INDEX(Optimization!$AT$4:$BW$33, INT((ROW()-1)/COLUMNS(Optimization!$AT$4:$BW$33))+1, MOD(ROW()-1, COLUMNS(Optimization!$AT$4:$BW$33))+1)</f>
        <v>0</v>
      </c>
    </row>
    <row r="605" spans="1:3" x14ac:dyDescent="0.25">
      <c r="A605">
        <v>605</v>
      </c>
      <c r="B605" cm="1">
        <f t="array" ref="B605">INDEX(Optimization!$F$4:$AI$33, INT((ROW()-1)/COLUMNS(Optimization!$F$4:$AI$33))+1, MOD(ROW()-1, COLUMNS(Optimization!$F$4:$AI$33))+1)</f>
        <v>0.31998546060890398</v>
      </c>
      <c r="C605" cm="1">
        <f t="array" ref="C605">INDEX(Optimization!$AT$4:$BW$33, INT((ROW()-1)/COLUMNS(Optimization!$AT$4:$BW$33))+1, MOD(ROW()-1, COLUMNS(Optimization!$AT$4:$BW$33))+1)</f>
        <v>0</v>
      </c>
    </row>
    <row r="606" spans="1:3" x14ac:dyDescent="0.25">
      <c r="A606">
        <v>606</v>
      </c>
      <c r="B606" cm="1">
        <f t="array" ref="B606">INDEX(Optimization!$F$4:$AI$33, INT((ROW()-1)/COLUMNS(Optimization!$F$4:$AI$33))+1, MOD(ROW()-1, COLUMNS(Optimization!$F$4:$AI$33))+1)</f>
        <v>0.43451585971442103</v>
      </c>
      <c r="C606" cm="1">
        <f t="array" ref="C606">INDEX(Optimization!$AT$4:$BW$33, INT((ROW()-1)/COLUMNS(Optimization!$AT$4:$BW$33))+1, MOD(ROW()-1, COLUMNS(Optimization!$AT$4:$BW$33))+1)</f>
        <v>0</v>
      </c>
    </row>
    <row r="607" spans="1:3" x14ac:dyDescent="0.25">
      <c r="A607">
        <v>607</v>
      </c>
      <c r="B607" cm="1">
        <f t="array" ref="B607">INDEX(Optimization!$F$4:$AI$33, INT((ROW()-1)/COLUMNS(Optimization!$F$4:$AI$33))+1, MOD(ROW()-1, COLUMNS(Optimization!$F$4:$AI$33))+1)</f>
        <v>-0.55529141827330997</v>
      </c>
      <c r="C607" cm="1">
        <f t="array" ref="C607">INDEX(Optimization!$AT$4:$BW$33, INT((ROW()-1)/COLUMNS(Optimization!$AT$4:$BW$33))+1, MOD(ROW()-1, COLUMNS(Optimization!$AT$4:$BW$33))+1)</f>
        <v>0</v>
      </c>
    </row>
    <row r="608" spans="1:3" x14ac:dyDescent="0.25">
      <c r="A608">
        <v>608</v>
      </c>
      <c r="B608" cm="1">
        <f t="array" ref="B608">INDEX(Optimization!$F$4:$AI$33, INT((ROW()-1)/COLUMNS(Optimization!$F$4:$AI$33))+1, MOD(ROW()-1, COLUMNS(Optimization!$F$4:$AI$33))+1)</f>
        <v>0.58560900210076805</v>
      </c>
      <c r="C608" cm="1">
        <f t="array" ref="C608">INDEX(Optimization!$AT$4:$BW$33, INT((ROW()-1)/COLUMNS(Optimization!$AT$4:$BW$33))+1, MOD(ROW()-1, COLUMNS(Optimization!$AT$4:$BW$33))+1)</f>
        <v>0</v>
      </c>
    </row>
    <row r="609" spans="1:3" x14ac:dyDescent="0.25">
      <c r="A609">
        <v>609</v>
      </c>
      <c r="B609" cm="1">
        <f t="array" ref="B609">INDEX(Optimization!$F$4:$AI$33, INT((ROW()-1)/COLUMNS(Optimization!$F$4:$AI$33))+1, MOD(ROW()-1, COLUMNS(Optimization!$F$4:$AI$33))+1)</f>
        <v>0.47193509271107698</v>
      </c>
      <c r="C609" cm="1">
        <f t="array" ref="C609">INDEX(Optimization!$AT$4:$BW$33, INT((ROW()-1)/COLUMNS(Optimization!$AT$4:$BW$33))+1, MOD(ROW()-1, COLUMNS(Optimization!$AT$4:$BW$33))+1)</f>
        <v>53</v>
      </c>
    </row>
    <row r="610" spans="1:3" x14ac:dyDescent="0.25">
      <c r="A610">
        <v>610</v>
      </c>
      <c r="B610" cm="1">
        <f t="array" ref="B610">INDEX(Optimization!$F$4:$AI$33, INT((ROW()-1)/COLUMNS(Optimization!$F$4:$AI$33))+1, MOD(ROW()-1, COLUMNS(Optimization!$F$4:$AI$33))+1)</f>
        <v>-8.8742525545002199E-2</v>
      </c>
      <c r="C610" cm="1">
        <f t="array" ref="C610">INDEX(Optimization!$AT$4:$BW$33, INT((ROW()-1)/COLUMNS(Optimization!$AT$4:$BW$33))+1, MOD(ROW()-1, COLUMNS(Optimization!$AT$4:$BW$33))+1)</f>
        <v>0</v>
      </c>
    </row>
    <row r="611" spans="1:3" x14ac:dyDescent="0.25">
      <c r="A611">
        <v>611</v>
      </c>
      <c r="B611" cm="1">
        <f t="array" ref="B611">INDEX(Optimization!$F$4:$AI$33, INT((ROW()-1)/COLUMNS(Optimization!$F$4:$AI$33))+1, MOD(ROW()-1, COLUMNS(Optimization!$F$4:$AI$33))+1)</f>
        <v>-0.67262038522089296</v>
      </c>
      <c r="C611" cm="1">
        <f t="array" ref="C611">INDEX(Optimization!$AT$4:$BW$33, INT((ROW()-1)/COLUMNS(Optimization!$AT$4:$BW$33))+1, MOD(ROW()-1, COLUMNS(Optimization!$AT$4:$BW$33))+1)</f>
        <v>104</v>
      </c>
    </row>
    <row r="612" spans="1:3" x14ac:dyDescent="0.25">
      <c r="A612">
        <v>612</v>
      </c>
      <c r="B612" cm="1">
        <f t="array" ref="B612">INDEX(Optimization!$F$4:$AI$33, INT((ROW()-1)/COLUMNS(Optimization!$F$4:$AI$33))+1, MOD(ROW()-1, COLUMNS(Optimization!$F$4:$AI$33))+1)</f>
        <v>0.63076753069080904</v>
      </c>
      <c r="C612" cm="1">
        <f t="array" ref="C612">INDEX(Optimization!$AT$4:$BW$33, INT((ROW()-1)/COLUMNS(Optimization!$AT$4:$BW$33))+1, MOD(ROW()-1, COLUMNS(Optimization!$AT$4:$BW$33))+1)</f>
        <v>34</v>
      </c>
    </row>
    <row r="613" spans="1:3" x14ac:dyDescent="0.25">
      <c r="A613">
        <v>613</v>
      </c>
      <c r="B613" cm="1">
        <f t="array" ref="B613">INDEX(Optimization!$F$4:$AI$33, INT((ROW()-1)/COLUMNS(Optimization!$F$4:$AI$33))+1, MOD(ROW()-1, COLUMNS(Optimization!$F$4:$AI$33))+1)</f>
        <v>-9.1727009021761105E-2</v>
      </c>
      <c r="C613" cm="1">
        <f t="array" ref="C613">INDEX(Optimization!$AT$4:$BW$33, INT((ROW()-1)/COLUMNS(Optimization!$AT$4:$BW$33))+1, MOD(ROW()-1, COLUMNS(Optimization!$AT$4:$BW$33))+1)</f>
        <v>0</v>
      </c>
    </row>
    <row r="614" spans="1:3" x14ac:dyDescent="0.25">
      <c r="A614">
        <v>614</v>
      </c>
      <c r="B614" cm="1">
        <f t="array" ref="B614">INDEX(Optimization!$F$4:$AI$33, INT((ROW()-1)/COLUMNS(Optimization!$F$4:$AI$33))+1, MOD(ROW()-1, COLUMNS(Optimization!$F$4:$AI$33))+1)</f>
        <v>-0.71664220904797504</v>
      </c>
      <c r="C614" cm="1">
        <f t="array" ref="C614">INDEX(Optimization!$AT$4:$BW$33, INT((ROW()-1)/COLUMNS(Optimization!$AT$4:$BW$33))+1, MOD(ROW()-1, COLUMNS(Optimization!$AT$4:$BW$33))+1)</f>
        <v>0</v>
      </c>
    </row>
    <row r="615" spans="1:3" x14ac:dyDescent="0.25">
      <c r="A615">
        <v>615</v>
      </c>
      <c r="B615" cm="1">
        <f t="array" ref="B615">INDEX(Optimization!$F$4:$AI$33, INT((ROW()-1)/COLUMNS(Optimization!$F$4:$AI$33))+1, MOD(ROW()-1, COLUMNS(Optimization!$F$4:$AI$33))+1)</f>
        <v>0.178393860022203</v>
      </c>
      <c r="C615" cm="1">
        <f t="array" ref="C615">INDEX(Optimization!$AT$4:$BW$33, INT((ROW()-1)/COLUMNS(Optimization!$AT$4:$BW$33))+1, MOD(ROW()-1, COLUMNS(Optimization!$AT$4:$BW$33))+1)</f>
        <v>111</v>
      </c>
    </row>
    <row r="616" spans="1:3" x14ac:dyDescent="0.25">
      <c r="A616">
        <v>616</v>
      </c>
      <c r="B616" cm="1">
        <f t="array" ref="B616">INDEX(Optimization!$F$4:$AI$33, INT((ROW()-1)/COLUMNS(Optimization!$F$4:$AI$33))+1, MOD(ROW()-1, COLUMNS(Optimization!$F$4:$AI$33))+1)</f>
        <v>0.37023073489536501</v>
      </c>
      <c r="C616" cm="1">
        <f t="array" ref="C616">INDEX(Optimization!$AT$4:$BW$33, INT((ROW()-1)/COLUMNS(Optimization!$AT$4:$BW$33))+1, MOD(ROW()-1, COLUMNS(Optimization!$AT$4:$BW$33))+1)</f>
        <v>0</v>
      </c>
    </row>
    <row r="617" spans="1:3" x14ac:dyDescent="0.25">
      <c r="A617">
        <v>617</v>
      </c>
      <c r="B617" cm="1">
        <f t="array" ref="B617">INDEX(Optimization!$F$4:$AI$33, INT((ROW()-1)/COLUMNS(Optimization!$F$4:$AI$33))+1, MOD(ROW()-1, COLUMNS(Optimization!$F$4:$AI$33))+1)</f>
        <v>-1.03352822621116</v>
      </c>
      <c r="C617" cm="1">
        <f t="array" ref="C617">INDEX(Optimization!$AT$4:$BW$33, INT((ROW()-1)/COLUMNS(Optimization!$AT$4:$BW$33))+1, MOD(ROW()-1, COLUMNS(Optimization!$AT$4:$BW$33))+1)</f>
        <v>17</v>
      </c>
    </row>
    <row r="618" spans="1:3" x14ac:dyDescent="0.25">
      <c r="A618">
        <v>618</v>
      </c>
      <c r="B618" cm="1">
        <f t="array" ref="B618">INDEX(Optimization!$F$4:$AI$33, INT((ROW()-1)/COLUMNS(Optimization!$F$4:$AI$33))+1, MOD(ROW()-1, COLUMNS(Optimization!$F$4:$AI$33))+1)</f>
        <v>1.3197480538078099</v>
      </c>
      <c r="C618" cm="1">
        <f t="array" ref="C618">INDEX(Optimization!$AT$4:$BW$33, INT((ROW()-1)/COLUMNS(Optimization!$AT$4:$BW$33))+1, MOD(ROW()-1, COLUMNS(Optimization!$AT$4:$BW$33))+1)</f>
        <v>0</v>
      </c>
    </row>
    <row r="619" spans="1:3" x14ac:dyDescent="0.25">
      <c r="A619">
        <v>619</v>
      </c>
      <c r="B619" cm="1">
        <f t="array" ref="B619">INDEX(Optimization!$F$4:$AI$33, INT((ROW()-1)/COLUMNS(Optimization!$F$4:$AI$33))+1, MOD(ROW()-1, COLUMNS(Optimization!$F$4:$AI$33))+1)</f>
        <v>-1.51960926393394</v>
      </c>
      <c r="C619" cm="1">
        <f t="array" ref="C619">INDEX(Optimization!$AT$4:$BW$33, INT((ROW()-1)/COLUMNS(Optimization!$AT$4:$BW$33))+1, MOD(ROW()-1, COLUMNS(Optimization!$AT$4:$BW$33))+1)</f>
        <v>0</v>
      </c>
    </row>
    <row r="620" spans="1:3" x14ac:dyDescent="0.25">
      <c r="A620">
        <v>620</v>
      </c>
      <c r="B620" cm="1">
        <f t="array" ref="B620">INDEX(Optimization!$F$4:$AI$33, INT((ROW()-1)/COLUMNS(Optimization!$F$4:$AI$33))+1, MOD(ROW()-1, COLUMNS(Optimization!$F$4:$AI$33))+1)</f>
        <v>-1.1562869303799801</v>
      </c>
      <c r="C620" cm="1">
        <f t="array" ref="C620">INDEX(Optimization!$AT$4:$BW$33, INT((ROW()-1)/COLUMNS(Optimization!$AT$4:$BW$33))+1, MOD(ROW()-1, COLUMNS(Optimization!$AT$4:$BW$33))+1)</f>
        <v>0</v>
      </c>
    </row>
    <row r="621" spans="1:3" x14ac:dyDescent="0.25">
      <c r="A621">
        <v>621</v>
      </c>
      <c r="B621" cm="1">
        <f t="array" ref="B621">INDEX(Optimization!$F$4:$AI$33, INT((ROW()-1)/COLUMNS(Optimization!$F$4:$AI$33))+1, MOD(ROW()-1, COLUMNS(Optimization!$F$4:$AI$33))+1)</f>
        <v>0</v>
      </c>
      <c r="C621" cm="1">
        <f t="array" ref="C621">INDEX(Optimization!$AT$4:$BW$33, INT((ROW()-1)/COLUMNS(Optimization!$AT$4:$BW$33))+1, MOD(ROW()-1, COLUMNS(Optimization!$AT$4:$BW$33))+1)</f>
        <v>0</v>
      </c>
    </row>
    <row r="622" spans="1:3" x14ac:dyDescent="0.25">
      <c r="A622">
        <v>622</v>
      </c>
      <c r="B622" cm="1">
        <f t="array" ref="B622">INDEX(Optimization!$F$4:$AI$33, INT((ROW()-1)/COLUMNS(Optimization!$F$4:$AI$33))+1, MOD(ROW()-1, COLUMNS(Optimization!$F$4:$AI$33))+1)</f>
        <v>-0.54979683008365299</v>
      </c>
      <c r="C622" cm="1">
        <f t="array" ref="C622">INDEX(Optimization!$AT$4:$BW$33, INT((ROW()-1)/COLUMNS(Optimization!$AT$4:$BW$33))+1, MOD(ROW()-1, COLUMNS(Optimization!$AT$4:$BW$33))+1)</f>
        <v>0</v>
      </c>
    </row>
    <row r="623" spans="1:3" x14ac:dyDescent="0.25">
      <c r="A623">
        <v>623</v>
      </c>
      <c r="B623" cm="1">
        <f t="array" ref="B623">INDEX(Optimization!$F$4:$AI$33, INT((ROW()-1)/COLUMNS(Optimization!$F$4:$AI$33))+1, MOD(ROW()-1, COLUMNS(Optimization!$F$4:$AI$33))+1)</f>
        <v>0.15223388862579099</v>
      </c>
      <c r="C623" cm="1">
        <f t="array" ref="C623">INDEX(Optimization!$AT$4:$BW$33, INT((ROW()-1)/COLUMNS(Optimization!$AT$4:$BW$33))+1, MOD(ROW()-1, COLUMNS(Optimization!$AT$4:$BW$33))+1)</f>
        <v>0</v>
      </c>
    </row>
    <row r="624" spans="1:3" x14ac:dyDescent="0.25">
      <c r="A624">
        <v>624</v>
      </c>
      <c r="B624" cm="1">
        <f t="array" ref="B624">INDEX(Optimization!$F$4:$AI$33, INT((ROW()-1)/COLUMNS(Optimization!$F$4:$AI$33))+1, MOD(ROW()-1, COLUMNS(Optimization!$F$4:$AI$33))+1)</f>
        <v>-0.61809276820024195</v>
      </c>
      <c r="C624" cm="1">
        <f t="array" ref="C624">INDEX(Optimization!$AT$4:$BW$33, INT((ROW()-1)/COLUMNS(Optimization!$AT$4:$BW$33))+1, MOD(ROW()-1, COLUMNS(Optimization!$AT$4:$BW$33))+1)</f>
        <v>7</v>
      </c>
    </row>
    <row r="625" spans="1:3" x14ac:dyDescent="0.25">
      <c r="A625">
        <v>625</v>
      </c>
      <c r="B625" cm="1">
        <f t="array" ref="B625">INDEX(Optimization!$F$4:$AI$33, INT((ROW()-1)/COLUMNS(Optimization!$F$4:$AI$33))+1, MOD(ROW()-1, COLUMNS(Optimization!$F$4:$AI$33))+1)</f>
        <v>4.0593508965108702E-2</v>
      </c>
      <c r="C625" cm="1">
        <f t="array" ref="C625">INDEX(Optimization!$AT$4:$BW$33, INT((ROW()-1)/COLUMNS(Optimization!$AT$4:$BW$33))+1, MOD(ROW()-1, COLUMNS(Optimization!$AT$4:$BW$33))+1)</f>
        <v>0</v>
      </c>
    </row>
    <row r="626" spans="1:3" x14ac:dyDescent="0.25">
      <c r="A626">
        <v>626</v>
      </c>
      <c r="B626" cm="1">
        <f t="array" ref="B626">INDEX(Optimization!$F$4:$AI$33, INT((ROW()-1)/COLUMNS(Optimization!$F$4:$AI$33))+1, MOD(ROW()-1, COLUMNS(Optimization!$F$4:$AI$33))+1)</f>
        <v>0.57130574403911505</v>
      </c>
      <c r="C626" cm="1">
        <f t="array" ref="C626">INDEX(Optimization!$AT$4:$BW$33, INT((ROW()-1)/COLUMNS(Optimization!$AT$4:$BW$33))+1, MOD(ROW()-1, COLUMNS(Optimization!$AT$4:$BW$33))+1)</f>
        <v>0</v>
      </c>
    </row>
    <row r="627" spans="1:3" x14ac:dyDescent="0.25">
      <c r="A627">
        <v>627</v>
      </c>
      <c r="B627" cm="1">
        <f t="array" ref="B627">INDEX(Optimization!$F$4:$AI$33, INT((ROW()-1)/COLUMNS(Optimization!$F$4:$AI$33))+1, MOD(ROW()-1, COLUMNS(Optimization!$F$4:$AI$33))+1)</f>
        <v>0.45706177642260598</v>
      </c>
      <c r="C627" cm="1">
        <f t="array" ref="C627">INDEX(Optimization!$AT$4:$BW$33, INT((ROW()-1)/COLUMNS(Optimization!$AT$4:$BW$33))+1, MOD(ROW()-1, COLUMNS(Optimization!$AT$4:$BW$33))+1)</f>
        <v>47</v>
      </c>
    </row>
    <row r="628" spans="1:3" x14ac:dyDescent="0.25">
      <c r="A628">
        <v>628</v>
      </c>
      <c r="B628" cm="1">
        <f t="array" ref="B628">INDEX(Optimization!$F$4:$AI$33, INT((ROW()-1)/COLUMNS(Optimization!$F$4:$AI$33))+1, MOD(ROW()-1, COLUMNS(Optimization!$F$4:$AI$33))+1)</f>
        <v>6.6652411693714095E-2</v>
      </c>
      <c r="C628" cm="1">
        <f t="array" ref="C628">INDEX(Optimization!$AT$4:$BW$33, INT((ROW()-1)/COLUMNS(Optimization!$AT$4:$BW$33))+1, MOD(ROW()-1, COLUMNS(Optimization!$AT$4:$BW$33))+1)</f>
        <v>0</v>
      </c>
    </row>
    <row r="629" spans="1:3" x14ac:dyDescent="0.25">
      <c r="A629">
        <v>629</v>
      </c>
      <c r="B629" cm="1">
        <f t="array" ref="B629">INDEX(Optimization!$F$4:$AI$33, INT((ROW()-1)/COLUMNS(Optimization!$F$4:$AI$33))+1, MOD(ROW()-1, COLUMNS(Optimization!$F$4:$AI$33))+1)</f>
        <v>0.86112584927744396</v>
      </c>
      <c r="C629" cm="1">
        <f t="array" ref="C629">INDEX(Optimization!$AT$4:$BW$33, INT((ROW()-1)/COLUMNS(Optimization!$AT$4:$BW$33))+1, MOD(ROW()-1, COLUMNS(Optimization!$AT$4:$BW$33))+1)</f>
        <v>80</v>
      </c>
    </row>
    <row r="630" spans="1:3" x14ac:dyDescent="0.25">
      <c r="A630">
        <v>630</v>
      </c>
      <c r="B630" cm="1">
        <f t="array" ref="B630">INDEX(Optimization!$F$4:$AI$33, INT((ROW()-1)/COLUMNS(Optimization!$F$4:$AI$33))+1, MOD(ROW()-1, COLUMNS(Optimization!$F$4:$AI$33))+1)</f>
        <v>0.79872485015633399</v>
      </c>
      <c r="C630" cm="1">
        <f t="array" ref="C630">INDEX(Optimization!$AT$4:$BW$33, INT((ROW()-1)/COLUMNS(Optimization!$AT$4:$BW$33))+1, MOD(ROW()-1, COLUMNS(Optimization!$AT$4:$BW$33))+1)</f>
        <v>114</v>
      </c>
    </row>
    <row r="631" spans="1:3" x14ac:dyDescent="0.25">
      <c r="A631">
        <v>631</v>
      </c>
      <c r="B631" cm="1">
        <f t="array" ref="B631">INDEX(Optimization!$F$4:$AI$33, INT((ROW()-1)/COLUMNS(Optimization!$F$4:$AI$33))+1, MOD(ROW()-1, COLUMNS(Optimization!$F$4:$AI$33))+1)</f>
        <v>-0.27486141415267401</v>
      </c>
      <c r="C631" cm="1">
        <f t="array" ref="C631">INDEX(Optimization!$AT$4:$BW$33, INT((ROW()-1)/COLUMNS(Optimization!$AT$4:$BW$33))+1, MOD(ROW()-1, COLUMNS(Optimization!$AT$4:$BW$33))+1)</f>
        <v>0</v>
      </c>
    </row>
    <row r="632" spans="1:3" x14ac:dyDescent="0.25">
      <c r="A632">
        <v>632</v>
      </c>
      <c r="B632" cm="1">
        <f t="array" ref="B632">INDEX(Optimization!$F$4:$AI$33, INT((ROW()-1)/COLUMNS(Optimization!$F$4:$AI$33))+1, MOD(ROW()-1, COLUMNS(Optimization!$F$4:$AI$33))+1)</f>
        <v>0.72726529968932996</v>
      </c>
      <c r="C632" cm="1">
        <f t="array" ref="C632">INDEX(Optimization!$AT$4:$BW$33, INT((ROW()-1)/COLUMNS(Optimization!$AT$4:$BW$33))+1, MOD(ROW()-1, COLUMNS(Optimization!$AT$4:$BW$33))+1)</f>
        <v>0</v>
      </c>
    </row>
    <row r="633" spans="1:3" x14ac:dyDescent="0.25">
      <c r="A633">
        <v>633</v>
      </c>
      <c r="B633" cm="1">
        <f t="array" ref="B633">INDEX(Optimization!$F$4:$AI$33, INT((ROW()-1)/COLUMNS(Optimization!$F$4:$AI$33))+1, MOD(ROW()-1, COLUMNS(Optimization!$F$4:$AI$33))+1)</f>
        <v>-0.16950786483098801</v>
      </c>
      <c r="C633" cm="1">
        <f t="array" ref="C633">INDEX(Optimization!$AT$4:$BW$33, INT((ROW()-1)/COLUMNS(Optimization!$AT$4:$BW$33))+1, MOD(ROW()-1, COLUMNS(Optimization!$AT$4:$BW$33))+1)</f>
        <v>0</v>
      </c>
    </row>
    <row r="634" spans="1:3" x14ac:dyDescent="0.25">
      <c r="A634">
        <v>634</v>
      </c>
      <c r="B634" cm="1">
        <f t="array" ref="B634">INDEX(Optimization!$F$4:$AI$33, INT((ROW()-1)/COLUMNS(Optimization!$F$4:$AI$33))+1, MOD(ROW()-1, COLUMNS(Optimization!$F$4:$AI$33))+1)</f>
        <v>-0.31934552091156598</v>
      </c>
      <c r="C634" cm="1">
        <f t="array" ref="C634">INDEX(Optimization!$AT$4:$BW$33, INT((ROW()-1)/COLUMNS(Optimization!$AT$4:$BW$33))+1, MOD(ROW()-1, COLUMNS(Optimization!$AT$4:$BW$33))+1)</f>
        <v>0</v>
      </c>
    </row>
    <row r="635" spans="1:3" x14ac:dyDescent="0.25">
      <c r="A635">
        <v>635</v>
      </c>
      <c r="B635" cm="1">
        <f t="array" ref="B635">INDEX(Optimization!$F$4:$AI$33, INT((ROW()-1)/COLUMNS(Optimization!$F$4:$AI$33))+1, MOD(ROW()-1, COLUMNS(Optimization!$F$4:$AI$33))+1)</f>
        <v>-0.692446492583772</v>
      </c>
      <c r="C635" cm="1">
        <f t="array" ref="C635">INDEX(Optimization!$AT$4:$BW$33, INT((ROW()-1)/COLUMNS(Optimization!$AT$4:$BW$33))+1, MOD(ROW()-1, COLUMNS(Optimization!$AT$4:$BW$33))+1)</f>
        <v>0</v>
      </c>
    </row>
    <row r="636" spans="1:3" x14ac:dyDescent="0.25">
      <c r="A636">
        <v>636</v>
      </c>
      <c r="B636" cm="1">
        <f t="array" ref="B636">INDEX(Optimization!$F$4:$AI$33, INT((ROW()-1)/COLUMNS(Optimization!$F$4:$AI$33))+1, MOD(ROW()-1, COLUMNS(Optimization!$F$4:$AI$33))+1)</f>
        <v>-0.80146826210301103</v>
      </c>
      <c r="C636" cm="1">
        <f t="array" ref="C636">INDEX(Optimization!$AT$4:$BW$33, INT((ROW()-1)/COLUMNS(Optimization!$AT$4:$BW$33))+1, MOD(ROW()-1, COLUMNS(Optimization!$AT$4:$BW$33))+1)</f>
        <v>0</v>
      </c>
    </row>
    <row r="637" spans="1:3" x14ac:dyDescent="0.25">
      <c r="A637">
        <v>637</v>
      </c>
      <c r="B637" cm="1">
        <f t="array" ref="B637">INDEX(Optimization!$F$4:$AI$33, INT((ROW()-1)/COLUMNS(Optimization!$F$4:$AI$33))+1, MOD(ROW()-1, COLUMNS(Optimization!$F$4:$AI$33))+1)</f>
        <v>1.5641833208801002E-2</v>
      </c>
      <c r="C637" cm="1">
        <f t="array" ref="C637">INDEX(Optimization!$AT$4:$BW$33, INT((ROW()-1)/COLUMNS(Optimization!$AT$4:$BW$33))+1, MOD(ROW()-1, COLUMNS(Optimization!$AT$4:$BW$33))+1)</f>
        <v>0</v>
      </c>
    </row>
    <row r="638" spans="1:3" x14ac:dyDescent="0.25">
      <c r="A638">
        <v>638</v>
      </c>
      <c r="B638" cm="1">
        <f t="array" ref="B638">INDEX(Optimization!$F$4:$AI$33, INT((ROW()-1)/COLUMNS(Optimization!$F$4:$AI$33))+1, MOD(ROW()-1, COLUMNS(Optimization!$F$4:$AI$33))+1)</f>
        <v>0.73556040040030901</v>
      </c>
      <c r="C638" cm="1">
        <f t="array" ref="C638">INDEX(Optimization!$AT$4:$BW$33, INT((ROW()-1)/COLUMNS(Optimization!$AT$4:$BW$33))+1, MOD(ROW()-1, COLUMNS(Optimization!$AT$4:$BW$33))+1)</f>
        <v>0</v>
      </c>
    </row>
    <row r="639" spans="1:3" x14ac:dyDescent="0.25">
      <c r="A639">
        <v>639</v>
      </c>
      <c r="B639" cm="1">
        <f t="array" ref="B639">INDEX(Optimization!$F$4:$AI$33, INT((ROW()-1)/COLUMNS(Optimization!$F$4:$AI$33))+1, MOD(ROW()-1, COLUMNS(Optimization!$F$4:$AI$33))+1)</f>
        <v>0.87079074971359904</v>
      </c>
      <c r="C639" cm="1">
        <f t="array" ref="C639">INDEX(Optimization!$AT$4:$BW$33, INT((ROW()-1)/COLUMNS(Optimization!$AT$4:$BW$33))+1, MOD(ROW()-1, COLUMNS(Optimization!$AT$4:$BW$33))+1)</f>
        <v>0</v>
      </c>
    </row>
    <row r="640" spans="1:3" x14ac:dyDescent="0.25">
      <c r="A640">
        <v>640</v>
      </c>
      <c r="B640" cm="1">
        <f t="array" ref="B640">INDEX(Optimization!$F$4:$AI$33, INT((ROW()-1)/COLUMNS(Optimization!$F$4:$AI$33))+1, MOD(ROW()-1, COLUMNS(Optimization!$F$4:$AI$33))+1)</f>
        <v>0.39610666753248203</v>
      </c>
      <c r="C640" cm="1">
        <f t="array" ref="C640">INDEX(Optimization!$AT$4:$BW$33, INT((ROW()-1)/COLUMNS(Optimization!$AT$4:$BW$33))+1, MOD(ROW()-1, COLUMNS(Optimization!$AT$4:$BW$33))+1)</f>
        <v>0</v>
      </c>
    </row>
    <row r="641" spans="1:3" x14ac:dyDescent="0.25">
      <c r="A641">
        <v>641</v>
      </c>
      <c r="B641" cm="1">
        <f t="array" ref="B641">INDEX(Optimization!$F$4:$AI$33, INT((ROW()-1)/COLUMNS(Optimization!$F$4:$AI$33))+1, MOD(ROW()-1, COLUMNS(Optimization!$F$4:$AI$33))+1)</f>
        <v>-0.21852333910169</v>
      </c>
      <c r="C641" cm="1">
        <f t="array" ref="C641">INDEX(Optimization!$AT$4:$BW$33, INT((ROW()-1)/COLUMNS(Optimization!$AT$4:$BW$33))+1, MOD(ROW()-1, COLUMNS(Optimization!$AT$4:$BW$33))+1)</f>
        <v>0</v>
      </c>
    </row>
    <row r="642" spans="1:3" x14ac:dyDescent="0.25">
      <c r="A642">
        <v>642</v>
      </c>
      <c r="B642" cm="1">
        <f t="array" ref="B642">INDEX(Optimization!$F$4:$AI$33, INT((ROW()-1)/COLUMNS(Optimization!$F$4:$AI$33))+1, MOD(ROW()-1, COLUMNS(Optimization!$F$4:$AI$33))+1)</f>
        <v>-0.25993534064974699</v>
      </c>
      <c r="C642" cm="1">
        <f t="array" ref="C642">INDEX(Optimization!$AT$4:$BW$33, INT((ROW()-1)/COLUMNS(Optimization!$AT$4:$BW$33))+1, MOD(ROW()-1, COLUMNS(Optimization!$AT$4:$BW$33))+1)</f>
        <v>0</v>
      </c>
    </row>
    <row r="643" spans="1:3" x14ac:dyDescent="0.25">
      <c r="A643">
        <v>643</v>
      </c>
      <c r="B643" cm="1">
        <f t="array" ref="B643">INDEX(Optimization!$F$4:$AI$33, INT((ROW()-1)/COLUMNS(Optimization!$F$4:$AI$33))+1, MOD(ROW()-1, COLUMNS(Optimization!$F$4:$AI$33))+1)</f>
        <v>0.258541831619507</v>
      </c>
      <c r="C643" cm="1">
        <f t="array" ref="C643">INDEX(Optimization!$AT$4:$BW$33, INT((ROW()-1)/COLUMNS(Optimization!$AT$4:$BW$33))+1, MOD(ROW()-1, COLUMNS(Optimization!$AT$4:$BW$33))+1)</f>
        <v>0</v>
      </c>
    </row>
    <row r="644" spans="1:3" x14ac:dyDescent="0.25">
      <c r="A644">
        <v>644</v>
      </c>
      <c r="B644" cm="1">
        <f t="array" ref="B644">INDEX(Optimization!$F$4:$AI$33, INT((ROW()-1)/COLUMNS(Optimization!$F$4:$AI$33))+1, MOD(ROW()-1, COLUMNS(Optimization!$F$4:$AI$33))+1)</f>
        <v>0.662869261614079</v>
      </c>
      <c r="C644" cm="1">
        <f t="array" ref="C644">INDEX(Optimization!$AT$4:$BW$33, INT((ROW()-1)/COLUMNS(Optimization!$AT$4:$BW$33))+1, MOD(ROW()-1, COLUMNS(Optimization!$AT$4:$BW$33))+1)</f>
        <v>0</v>
      </c>
    </row>
    <row r="645" spans="1:3" x14ac:dyDescent="0.25">
      <c r="A645">
        <v>645</v>
      </c>
      <c r="B645" cm="1">
        <f t="array" ref="B645">INDEX(Optimization!$F$4:$AI$33, INT((ROW()-1)/COLUMNS(Optimization!$F$4:$AI$33))+1, MOD(ROW()-1, COLUMNS(Optimization!$F$4:$AI$33))+1)</f>
        <v>0.68889432807512196</v>
      </c>
      <c r="C645" cm="1">
        <f t="array" ref="C645">INDEX(Optimization!$AT$4:$BW$33, INT((ROW()-1)/COLUMNS(Optimization!$AT$4:$BW$33))+1, MOD(ROW()-1, COLUMNS(Optimization!$AT$4:$BW$33))+1)</f>
        <v>0</v>
      </c>
    </row>
    <row r="646" spans="1:3" x14ac:dyDescent="0.25">
      <c r="A646">
        <v>646</v>
      </c>
      <c r="B646" cm="1">
        <f t="array" ref="B646">INDEX(Optimization!$F$4:$AI$33, INT((ROW()-1)/COLUMNS(Optimization!$F$4:$AI$33))+1, MOD(ROW()-1, COLUMNS(Optimization!$F$4:$AI$33))+1)</f>
        <v>-1.49830551789533</v>
      </c>
      <c r="C646" cm="1">
        <f t="array" ref="C646">INDEX(Optimization!$AT$4:$BW$33, INT((ROW()-1)/COLUMNS(Optimization!$AT$4:$BW$33))+1, MOD(ROW()-1, COLUMNS(Optimization!$AT$4:$BW$33))+1)</f>
        <v>0</v>
      </c>
    </row>
    <row r="647" spans="1:3" x14ac:dyDescent="0.25">
      <c r="A647">
        <v>647</v>
      </c>
      <c r="B647" cm="1">
        <f t="array" ref="B647">INDEX(Optimization!$F$4:$AI$33, INT((ROW()-1)/COLUMNS(Optimization!$F$4:$AI$33))+1, MOD(ROW()-1, COLUMNS(Optimization!$F$4:$AI$33))+1)</f>
        <v>-3.28555344892935E-2</v>
      </c>
      <c r="C647" cm="1">
        <f t="array" ref="C647">INDEX(Optimization!$AT$4:$BW$33, INT((ROW()-1)/COLUMNS(Optimization!$AT$4:$BW$33))+1, MOD(ROW()-1, COLUMNS(Optimization!$AT$4:$BW$33))+1)</f>
        <v>0</v>
      </c>
    </row>
    <row r="648" spans="1:3" x14ac:dyDescent="0.25">
      <c r="A648">
        <v>648</v>
      </c>
      <c r="B648" cm="1">
        <f t="array" ref="B648">INDEX(Optimization!$F$4:$AI$33, INT((ROW()-1)/COLUMNS(Optimization!$F$4:$AI$33))+1, MOD(ROW()-1, COLUMNS(Optimization!$F$4:$AI$33))+1)</f>
        <v>-0.68361733374469902</v>
      </c>
      <c r="C648" cm="1">
        <f t="array" ref="C648">INDEX(Optimization!$AT$4:$BW$33, INT((ROW()-1)/COLUMNS(Optimization!$AT$4:$BW$33))+1, MOD(ROW()-1, COLUMNS(Optimization!$AT$4:$BW$33))+1)</f>
        <v>0</v>
      </c>
    </row>
    <row r="649" spans="1:3" x14ac:dyDescent="0.25">
      <c r="A649">
        <v>649</v>
      </c>
      <c r="B649" cm="1">
        <f t="array" ref="B649">INDEX(Optimization!$F$4:$AI$33, INT((ROW()-1)/COLUMNS(Optimization!$F$4:$AI$33))+1, MOD(ROW()-1, COLUMNS(Optimization!$F$4:$AI$33))+1)</f>
        <v>-0.33322338043646499</v>
      </c>
      <c r="C649" cm="1">
        <f t="array" ref="C649">INDEX(Optimization!$AT$4:$BW$33, INT((ROW()-1)/COLUMNS(Optimization!$AT$4:$BW$33))+1, MOD(ROW()-1, COLUMNS(Optimization!$AT$4:$BW$33))+1)</f>
        <v>0</v>
      </c>
    </row>
    <row r="650" spans="1:3" x14ac:dyDescent="0.25">
      <c r="A650">
        <v>650</v>
      </c>
      <c r="B650" cm="1">
        <f t="array" ref="B650">INDEX(Optimization!$F$4:$AI$33, INT((ROW()-1)/COLUMNS(Optimization!$F$4:$AI$33))+1, MOD(ROW()-1, COLUMNS(Optimization!$F$4:$AI$33))+1)</f>
        <v>1.2269910886197499</v>
      </c>
      <c r="C650" cm="1">
        <f t="array" ref="C650">INDEX(Optimization!$AT$4:$BW$33, INT((ROW()-1)/COLUMNS(Optimization!$AT$4:$BW$33))+1, MOD(ROW()-1, COLUMNS(Optimization!$AT$4:$BW$33))+1)</f>
        <v>0</v>
      </c>
    </row>
    <row r="651" spans="1:3" x14ac:dyDescent="0.25">
      <c r="A651">
        <v>651</v>
      </c>
      <c r="B651" cm="1">
        <f t="array" ref="B651">INDEX(Optimization!$F$4:$AI$33, INT((ROW()-1)/COLUMNS(Optimization!$F$4:$AI$33))+1, MOD(ROW()-1, COLUMNS(Optimization!$F$4:$AI$33))+1)</f>
        <v>-0.54979683008365299</v>
      </c>
      <c r="C651" cm="1">
        <f t="array" ref="C651">INDEX(Optimization!$AT$4:$BW$33, INT((ROW()-1)/COLUMNS(Optimization!$AT$4:$BW$33))+1, MOD(ROW()-1, COLUMNS(Optimization!$AT$4:$BW$33))+1)</f>
        <v>0</v>
      </c>
    </row>
    <row r="652" spans="1:3" x14ac:dyDescent="0.25">
      <c r="A652">
        <v>652</v>
      </c>
      <c r="B652" cm="1">
        <f t="array" ref="B652">INDEX(Optimization!$F$4:$AI$33, INT((ROW()-1)/COLUMNS(Optimization!$F$4:$AI$33))+1, MOD(ROW()-1, COLUMNS(Optimization!$F$4:$AI$33))+1)</f>
        <v>0</v>
      </c>
      <c r="C652" cm="1">
        <f t="array" ref="C652">INDEX(Optimization!$AT$4:$BW$33, INT((ROW()-1)/COLUMNS(Optimization!$AT$4:$BW$33))+1, MOD(ROW()-1, COLUMNS(Optimization!$AT$4:$BW$33))+1)</f>
        <v>0</v>
      </c>
    </row>
    <row r="653" spans="1:3" x14ac:dyDescent="0.25">
      <c r="A653">
        <v>653</v>
      </c>
      <c r="B653" cm="1">
        <f t="array" ref="B653">INDEX(Optimization!$F$4:$AI$33, INT((ROW()-1)/COLUMNS(Optimization!$F$4:$AI$33))+1, MOD(ROW()-1, COLUMNS(Optimization!$F$4:$AI$33))+1)</f>
        <v>0.25897736801827698</v>
      </c>
      <c r="C653" cm="1">
        <f t="array" ref="C653">INDEX(Optimization!$AT$4:$BW$33, INT((ROW()-1)/COLUMNS(Optimization!$AT$4:$BW$33))+1, MOD(ROW()-1, COLUMNS(Optimization!$AT$4:$BW$33))+1)</f>
        <v>0</v>
      </c>
    </row>
    <row r="654" spans="1:3" x14ac:dyDescent="0.25">
      <c r="A654">
        <v>654</v>
      </c>
      <c r="B654" cm="1">
        <f t="array" ref="B654">INDEX(Optimization!$F$4:$AI$33, INT((ROW()-1)/COLUMNS(Optimization!$F$4:$AI$33))+1, MOD(ROW()-1, COLUMNS(Optimization!$F$4:$AI$33))+1)</f>
        <v>0.65873635814939002</v>
      </c>
      <c r="C654" cm="1">
        <f t="array" ref="C654">INDEX(Optimization!$AT$4:$BW$33, INT((ROW()-1)/COLUMNS(Optimization!$AT$4:$BW$33))+1, MOD(ROW()-1, COLUMNS(Optimization!$AT$4:$BW$33))+1)</f>
        <v>0</v>
      </c>
    </row>
    <row r="655" spans="1:3" x14ac:dyDescent="0.25">
      <c r="A655">
        <v>655</v>
      </c>
      <c r="B655" cm="1">
        <f t="array" ref="B655">INDEX(Optimization!$F$4:$AI$33, INT((ROW()-1)/COLUMNS(Optimization!$F$4:$AI$33))+1, MOD(ROW()-1, COLUMNS(Optimization!$F$4:$AI$33))+1)</f>
        <v>0.75364653953870897</v>
      </c>
      <c r="C655" cm="1">
        <f t="array" ref="C655">INDEX(Optimization!$AT$4:$BW$33, INT((ROW()-1)/COLUMNS(Optimization!$AT$4:$BW$33))+1, MOD(ROW()-1, COLUMNS(Optimization!$AT$4:$BW$33))+1)</f>
        <v>0</v>
      </c>
    </row>
    <row r="656" spans="1:3" x14ac:dyDescent="0.25">
      <c r="A656">
        <v>656</v>
      </c>
      <c r="B656" cm="1">
        <f t="array" ref="B656">INDEX(Optimization!$F$4:$AI$33, INT((ROW()-1)/COLUMNS(Optimization!$F$4:$AI$33))+1, MOD(ROW()-1, COLUMNS(Optimization!$F$4:$AI$33))+1)</f>
        <v>-1.13372828993182</v>
      </c>
      <c r="C656" cm="1">
        <f t="array" ref="C656">INDEX(Optimization!$AT$4:$BW$33, INT((ROW()-1)/COLUMNS(Optimization!$AT$4:$BW$33))+1, MOD(ROW()-1, COLUMNS(Optimization!$AT$4:$BW$33))+1)</f>
        <v>0</v>
      </c>
    </row>
    <row r="657" spans="1:3" x14ac:dyDescent="0.25">
      <c r="A657">
        <v>657</v>
      </c>
      <c r="B657" cm="1">
        <f t="array" ref="B657">INDEX(Optimization!$F$4:$AI$33, INT((ROW()-1)/COLUMNS(Optimization!$F$4:$AI$33))+1, MOD(ROW()-1, COLUMNS(Optimization!$F$4:$AI$33))+1)</f>
        <v>-0.98231524750815502</v>
      </c>
      <c r="C657" cm="1">
        <f t="array" ref="C657">INDEX(Optimization!$AT$4:$BW$33, INT((ROW()-1)/COLUMNS(Optimization!$AT$4:$BW$33))+1, MOD(ROW()-1, COLUMNS(Optimization!$AT$4:$BW$33))+1)</f>
        <v>0</v>
      </c>
    </row>
    <row r="658" spans="1:3" x14ac:dyDescent="0.25">
      <c r="A658">
        <v>658</v>
      </c>
      <c r="B658" cm="1">
        <f t="array" ref="B658">INDEX(Optimization!$F$4:$AI$33, INT((ROW()-1)/COLUMNS(Optimization!$F$4:$AI$33))+1, MOD(ROW()-1, COLUMNS(Optimization!$F$4:$AI$33))+1)</f>
        <v>-2.70254795658053E-2</v>
      </c>
      <c r="C658" cm="1">
        <f t="array" ref="C658">INDEX(Optimization!$AT$4:$BW$33, INT((ROW()-1)/COLUMNS(Optimization!$AT$4:$BW$33))+1, MOD(ROW()-1, COLUMNS(Optimization!$AT$4:$BW$33))+1)</f>
        <v>0</v>
      </c>
    </row>
    <row r="659" spans="1:3" x14ac:dyDescent="0.25">
      <c r="A659">
        <v>659</v>
      </c>
      <c r="B659" cm="1">
        <f t="array" ref="B659">INDEX(Optimization!$F$4:$AI$33, INT((ROW()-1)/COLUMNS(Optimization!$F$4:$AI$33))+1, MOD(ROW()-1, COLUMNS(Optimization!$F$4:$AI$33))+1)</f>
        <v>-1.0571605774850099</v>
      </c>
      <c r="C659" cm="1">
        <f t="array" ref="C659">INDEX(Optimization!$AT$4:$BW$33, INT((ROW()-1)/COLUMNS(Optimization!$AT$4:$BW$33))+1, MOD(ROW()-1, COLUMNS(Optimization!$AT$4:$BW$33))+1)</f>
        <v>0</v>
      </c>
    </row>
    <row r="660" spans="1:3" x14ac:dyDescent="0.25">
      <c r="A660">
        <v>660</v>
      </c>
      <c r="B660" cm="1">
        <f t="array" ref="B660">INDEX(Optimization!$F$4:$AI$33, INT((ROW()-1)/COLUMNS(Optimization!$F$4:$AI$33))+1, MOD(ROW()-1, COLUMNS(Optimization!$F$4:$AI$33))+1)</f>
        <v>-0.38829179953992798</v>
      </c>
      <c r="C660" cm="1">
        <f t="array" ref="C660">INDEX(Optimization!$AT$4:$BW$33, INT((ROW()-1)/COLUMNS(Optimization!$AT$4:$BW$33))+1, MOD(ROW()-1, COLUMNS(Optimization!$AT$4:$BW$33))+1)</f>
        <v>0</v>
      </c>
    </row>
    <row r="661" spans="1:3" x14ac:dyDescent="0.25">
      <c r="A661">
        <v>661</v>
      </c>
      <c r="B661" cm="1">
        <f t="array" ref="B661">INDEX(Optimization!$F$4:$AI$33, INT((ROW()-1)/COLUMNS(Optimization!$F$4:$AI$33))+1, MOD(ROW()-1, COLUMNS(Optimization!$F$4:$AI$33))+1)</f>
        <v>0.40771738138442598</v>
      </c>
      <c r="C661" cm="1">
        <f t="array" ref="C661">INDEX(Optimization!$AT$4:$BW$33, INT((ROW()-1)/COLUMNS(Optimization!$AT$4:$BW$33))+1, MOD(ROW()-1, COLUMNS(Optimization!$AT$4:$BW$33))+1)</f>
        <v>0</v>
      </c>
    </row>
    <row r="662" spans="1:3" x14ac:dyDescent="0.25">
      <c r="A662">
        <v>662</v>
      </c>
      <c r="B662" cm="1">
        <f t="array" ref="B662">INDEX(Optimization!$F$4:$AI$33, INT((ROW()-1)/COLUMNS(Optimization!$F$4:$AI$33))+1, MOD(ROW()-1, COLUMNS(Optimization!$F$4:$AI$33))+1)</f>
        <v>0.240173956648113</v>
      </c>
      <c r="C662" cm="1">
        <f t="array" ref="C662">INDEX(Optimization!$AT$4:$BW$33, INT((ROW()-1)/COLUMNS(Optimization!$AT$4:$BW$33))+1, MOD(ROW()-1, COLUMNS(Optimization!$AT$4:$BW$33))+1)</f>
        <v>0</v>
      </c>
    </row>
    <row r="663" spans="1:3" x14ac:dyDescent="0.25">
      <c r="A663">
        <v>663</v>
      </c>
      <c r="B663" cm="1">
        <f t="array" ref="B663">INDEX(Optimization!$F$4:$AI$33, INT((ROW()-1)/COLUMNS(Optimization!$F$4:$AI$33))+1, MOD(ROW()-1, COLUMNS(Optimization!$F$4:$AI$33))+1)</f>
        <v>-0.475760604848394</v>
      </c>
      <c r="C663" cm="1">
        <f t="array" ref="C663">INDEX(Optimization!$AT$4:$BW$33, INT((ROW()-1)/COLUMNS(Optimization!$AT$4:$BW$33))+1, MOD(ROW()-1, COLUMNS(Optimization!$AT$4:$BW$33))+1)</f>
        <v>0</v>
      </c>
    </row>
    <row r="664" spans="1:3" x14ac:dyDescent="0.25">
      <c r="A664">
        <v>664</v>
      </c>
      <c r="B664" cm="1">
        <f t="array" ref="B664">INDEX(Optimization!$F$4:$AI$33, INT((ROW()-1)/COLUMNS(Optimization!$F$4:$AI$33))+1, MOD(ROW()-1, COLUMNS(Optimization!$F$4:$AI$33))+1)</f>
        <v>-0.37972601838554698</v>
      </c>
      <c r="C664" cm="1">
        <f t="array" ref="C664">INDEX(Optimization!$AT$4:$BW$33, INT((ROW()-1)/COLUMNS(Optimization!$AT$4:$BW$33))+1, MOD(ROW()-1, COLUMNS(Optimization!$AT$4:$BW$33))+1)</f>
        <v>0</v>
      </c>
    </row>
    <row r="665" spans="1:3" x14ac:dyDescent="0.25">
      <c r="A665">
        <v>665</v>
      </c>
      <c r="B665" cm="1">
        <f t="array" ref="B665">INDEX(Optimization!$F$4:$AI$33, INT((ROW()-1)/COLUMNS(Optimization!$F$4:$AI$33))+1, MOD(ROW()-1, COLUMNS(Optimization!$F$4:$AI$33))+1)</f>
        <v>-0.73550260096486497</v>
      </c>
      <c r="C665" cm="1">
        <f t="array" ref="C665">INDEX(Optimization!$AT$4:$BW$33, INT((ROW()-1)/COLUMNS(Optimization!$AT$4:$BW$33))+1, MOD(ROW()-1, COLUMNS(Optimization!$AT$4:$BW$33))+1)</f>
        <v>0</v>
      </c>
    </row>
    <row r="666" spans="1:3" x14ac:dyDescent="0.25">
      <c r="A666">
        <v>666</v>
      </c>
      <c r="B666" cm="1">
        <f t="array" ref="B666">INDEX(Optimization!$F$4:$AI$33, INT((ROW()-1)/COLUMNS(Optimization!$F$4:$AI$33))+1, MOD(ROW()-1, COLUMNS(Optimization!$F$4:$AI$33))+1)</f>
        <v>0.70518650879253897</v>
      </c>
      <c r="C666" cm="1">
        <f t="array" ref="C666">INDEX(Optimization!$AT$4:$BW$33, INT((ROW()-1)/COLUMNS(Optimization!$AT$4:$BW$33))+1, MOD(ROW()-1, COLUMNS(Optimization!$AT$4:$BW$33))+1)</f>
        <v>0</v>
      </c>
    </row>
    <row r="667" spans="1:3" x14ac:dyDescent="0.25">
      <c r="A667">
        <v>667</v>
      </c>
      <c r="B667" cm="1">
        <f t="array" ref="B667">INDEX(Optimization!$F$4:$AI$33, INT((ROW()-1)/COLUMNS(Optimization!$F$4:$AI$33))+1, MOD(ROW()-1, COLUMNS(Optimization!$F$4:$AI$33))+1)</f>
        <v>-1.8422923728735802E-2</v>
      </c>
      <c r="C667" cm="1">
        <f t="array" ref="C667">INDEX(Optimization!$AT$4:$BW$33, INT((ROW()-1)/COLUMNS(Optimization!$AT$4:$BW$33))+1, MOD(ROW()-1, COLUMNS(Optimization!$AT$4:$BW$33))+1)</f>
        <v>0</v>
      </c>
    </row>
    <row r="668" spans="1:3" x14ac:dyDescent="0.25">
      <c r="A668">
        <v>668</v>
      </c>
      <c r="B668" cm="1">
        <f t="array" ref="B668">INDEX(Optimization!$F$4:$AI$33, INT((ROW()-1)/COLUMNS(Optimization!$F$4:$AI$33))+1, MOD(ROW()-1, COLUMNS(Optimization!$F$4:$AI$33))+1)</f>
        <v>-0.46456858676021501</v>
      </c>
      <c r="C668" cm="1">
        <f t="array" ref="C668">INDEX(Optimization!$AT$4:$BW$33, INT((ROW()-1)/COLUMNS(Optimization!$AT$4:$BW$33))+1, MOD(ROW()-1, COLUMNS(Optimization!$AT$4:$BW$33))+1)</f>
        <v>0</v>
      </c>
    </row>
    <row r="669" spans="1:3" x14ac:dyDescent="0.25">
      <c r="A669">
        <v>669</v>
      </c>
      <c r="B669" cm="1">
        <f t="array" ref="B669">INDEX(Optimization!$F$4:$AI$33, INT((ROW()-1)/COLUMNS(Optimization!$F$4:$AI$33))+1, MOD(ROW()-1, COLUMNS(Optimization!$F$4:$AI$33))+1)</f>
        <v>0.47923852122444599</v>
      </c>
      <c r="C669" cm="1">
        <f t="array" ref="C669">INDEX(Optimization!$AT$4:$BW$33, INT((ROW()-1)/COLUMNS(Optimization!$AT$4:$BW$33))+1, MOD(ROW()-1, COLUMNS(Optimization!$AT$4:$BW$33))+1)</f>
        <v>53</v>
      </c>
    </row>
    <row r="670" spans="1:3" x14ac:dyDescent="0.25">
      <c r="A670">
        <v>670</v>
      </c>
      <c r="B670" cm="1">
        <f t="array" ref="B670">INDEX(Optimization!$F$4:$AI$33, INT((ROW()-1)/COLUMNS(Optimization!$F$4:$AI$33))+1, MOD(ROW()-1, COLUMNS(Optimization!$F$4:$AI$33))+1)</f>
        <v>-0.36121427986744098</v>
      </c>
      <c r="C670" cm="1">
        <f t="array" ref="C670">INDEX(Optimization!$AT$4:$BW$33, INT((ROW()-1)/COLUMNS(Optimization!$AT$4:$BW$33))+1, MOD(ROW()-1, COLUMNS(Optimization!$AT$4:$BW$33))+1)</f>
        <v>0</v>
      </c>
    </row>
    <row r="671" spans="1:3" x14ac:dyDescent="0.25">
      <c r="A671">
        <v>671</v>
      </c>
      <c r="B671" cm="1">
        <f t="array" ref="B671">INDEX(Optimization!$F$4:$AI$33, INT((ROW()-1)/COLUMNS(Optimization!$F$4:$AI$33))+1, MOD(ROW()-1, COLUMNS(Optimization!$F$4:$AI$33))+1)</f>
        <v>0.31537289734470197</v>
      </c>
      <c r="C671" cm="1">
        <f t="array" ref="C671">INDEX(Optimization!$AT$4:$BW$33, INT((ROW()-1)/COLUMNS(Optimization!$AT$4:$BW$33))+1, MOD(ROW()-1, COLUMNS(Optimization!$AT$4:$BW$33))+1)</f>
        <v>104</v>
      </c>
    </row>
    <row r="672" spans="1:3" x14ac:dyDescent="0.25">
      <c r="A672">
        <v>672</v>
      </c>
      <c r="B672" cm="1">
        <f t="array" ref="B672">INDEX(Optimization!$F$4:$AI$33, INT((ROW()-1)/COLUMNS(Optimization!$F$4:$AI$33))+1, MOD(ROW()-1, COLUMNS(Optimization!$F$4:$AI$33))+1)</f>
        <v>1.07242261706188</v>
      </c>
      <c r="C672" cm="1">
        <f t="array" ref="C672">INDEX(Optimization!$AT$4:$BW$33, INT((ROW()-1)/COLUMNS(Optimization!$AT$4:$BW$33))+1, MOD(ROW()-1, COLUMNS(Optimization!$AT$4:$BW$33))+1)</f>
        <v>34</v>
      </c>
    </row>
    <row r="673" spans="1:3" x14ac:dyDescent="0.25">
      <c r="A673">
        <v>673</v>
      </c>
      <c r="B673" cm="1">
        <f t="array" ref="B673">INDEX(Optimization!$F$4:$AI$33, INT((ROW()-1)/COLUMNS(Optimization!$F$4:$AI$33))+1, MOD(ROW()-1, COLUMNS(Optimization!$F$4:$AI$33))+1)</f>
        <v>0.66309382271782602</v>
      </c>
      <c r="C673" cm="1">
        <f t="array" ref="C673">INDEX(Optimization!$AT$4:$BW$33, INT((ROW()-1)/COLUMNS(Optimization!$AT$4:$BW$33))+1, MOD(ROW()-1, COLUMNS(Optimization!$AT$4:$BW$33))+1)</f>
        <v>0</v>
      </c>
    </row>
    <row r="674" spans="1:3" x14ac:dyDescent="0.25">
      <c r="A674">
        <v>674</v>
      </c>
      <c r="B674" cm="1">
        <f t="array" ref="B674">INDEX(Optimization!$F$4:$AI$33, INT((ROW()-1)/COLUMNS(Optimization!$F$4:$AI$33))+1, MOD(ROW()-1, COLUMNS(Optimization!$F$4:$AI$33))+1)</f>
        <v>-0.11325211731823299</v>
      </c>
      <c r="C674" cm="1">
        <f t="array" ref="C674">INDEX(Optimization!$AT$4:$BW$33, INT((ROW()-1)/COLUMNS(Optimization!$AT$4:$BW$33))+1, MOD(ROW()-1, COLUMNS(Optimization!$AT$4:$BW$33))+1)</f>
        <v>0</v>
      </c>
    </row>
    <row r="675" spans="1:3" x14ac:dyDescent="0.25">
      <c r="A675">
        <v>675</v>
      </c>
      <c r="B675" cm="1">
        <f t="array" ref="B675">INDEX(Optimization!$F$4:$AI$33, INT((ROW()-1)/COLUMNS(Optimization!$F$4:$AI$33))+1, MOD(ROW()-1, COLUMNS(Optimization!$F$4:$AI$33))+1)</f>
        <v>-8.0495706772421002E-2</v>
      </c>
      <c r="C675" cm="1">
        <f t="array" ref="C675">INDEX(Optimization!$AT$4:$BW$33, INT((ROW()-1)/COLUMNS(Optimization!$AT$4:$BW$33))+1, MOD(ROW()-1, COLUMNS(Optimization!$AT$4:$BW$33))+1)</f>
        <v>110</v>
      </c>
    </row>
    <row r="676" spans="1:3" x14ac:dyDescent="0.25">
      <c r="A676">
        <v>676</v>
      </c>
      <c r="B676" cm="1">
        <f t="array" ref="B676">INDEX(Optimization!$F$4:$AI$33, INT((ROW()-1)/COLUMNS(Optimization!$F$4:$AI$33))+1, MOD(ROW()-1, COLUMNS(Optimization!$F$4:$AI$33))+1)</f>
        <v>1.3697550476018201</v>
      </c>
      <c r="C676" cm="1">
        <f t="array" ref="C676">INDEX(Optimization!$AT$4:$BW$33, INT((ROW()-1)/COLUMNS(Optimization!$AT$4:$BW$33))+1, MOD(ROW()-1, COLUMNS(Optimization!$AT$4:$BW$33))+1)</f>
        <v>0</v>
      </c>
    </row>
    <row r="677" spans="1:3" x14ac:dyDescent="0.25">
      <c r="A677">
        <v>677</v>
      </c>
      <c r="B677" cm="1">
        <f t="array" ref="B677">INDEX(Optimization!$F$4:$AI$33, INT((ROW()-1)/COLUMNS(Optimization!$F$4:$AI$33))+1, MOD(ROW()-1, COLUMNS(Optimization!$F$4:$AI$33))+1)</f>
        <v>-0.12077299394431799</v>
      </c>
      <c r="C677" cm="1">
        <f t="array" ref="C677">INDEX(Optimization!$AT$4:$BW$33, INT((ROW()-1)/COLUMNS(Optimization!$AT$4:$BW$33))+1, MOD(ROW()-1, COLUMNS(Optimization!$AT$4:$BW$33))+1)</f>
        <v>17</v>
      </c>
    </row>
    <row r="678" spans="1:3" x14ac:dyDescent="0.25">
      <c r="A678">
        <v>678</v>
      </c>
      <c r="B678" cm="1">
        <f t="array" ref="B678">INDEX(Optimization!$F$4:$AI$33, INT((ROW()-1)/COLUMNS(Optimization!$F$4:$AI$33))+1, MOD(ROW()-1, COLUMNS(Optimization!$F$4:$AI$33))+1)</f>
        <v>0.212958313617024</v>
      </c>
      <c r="C678" cm="1">
        <f t="array" ref="C678">INDEX(Optimization!$AT$4:$BW$33, INT((ROW()-1)/COLUMNS(Optimization!$AT$4:$BW$33))+1, MOD(ROW()-1, COLUMNS(Optimization!$AT$4:$BW$33))+1)</f>
        <v>0</v>
      </c>
    </row>
    <row r="679" spans="1:3" x14ac:dyDescent="0.25">
      <c r="A679">
        <v>679</v>
      </c>
      <c r="B679" cm="1">
        <f t="array" ref="B679">INDEX(Optimization!$F$4:$AI$33, INT((ROW()-1)/COLUMNS(Optimization!$F$4:$AI$33))+1, MOD(ROW()-1, COLUMNS(Optimization!$F$4:$AI$33))+1)</f>
        <v>0.23050881025188799</v>
      </c>
      <c r="C679" cm="1">
        <f t="array" ref="C679">INDEX(Optimization!$AT$4:$BW$33, INT((ROW()-1)/COLUMNS(Optimization!$AT$4:$BW$33))+1, MOD(ROW()-1, COLUMNS(Optimization!$AT$4:$BW$33))+1)</f>
        <v>0</v>
      </c>
    </row>
    <row r="680" spans="1:3" x14ac:dyDescent="0.25">
      <c r="A680">
        <v>680</v>
      </c>
      <c r="B680" cm="1">
        <f t="array" ref="B680">INDEX(Optimization!$F$4:$AI$33, INT((ROW()-1)/COLUMNS(Optimization!$F$4:$AI$33))+1, MOD(ROW()-1, COLUMNS(Optimization!$F$4:$AI$33))+1)</f>
        <v>0.65395827752189095</v>
      </c>
      <c r="C680" cm="1">
        <f t="array" ref="C680">INDEX(Optimization!$AT$4:$BW$33, INT((ROW()-1)/COLUMNS(Optimization!$AT$4:$BW$33))+1, MOD(ROW()-1, COLUMNS(Optimization!$AT$4:$BW$33))+1)</f>
        <v>0</v>
      </c>
    </row>
    <row r="681" spans="1:3" x14ac:dyDescent="0.25">
      <c r="A681">
        <v>681</v>
      </c>
      <c r="B681" cm="1">
        <f t="array" ref="B681">INDEX(Optimization!$F$4:$AI$33, INT((ROW()-1)/COLUMNS(Optimization!$F$4:$AI$33))+1, MOD(ROW()-1, COLUMNS(Optimization!$F$4:$AI$33))+1)</f>
        <v>0.15223388862579099</v>
      </c>
      <c r="C681" cm="1">
        <f t="array" ref="C681">INDEX(Optimization!$AT$4:$BW$33, INT((ROW()-1)/COLUMNS(Optimization!$AT$4:$BW$33))+1, MOD(ROW()-1, COLUMNS(Optimization!$AT$4:$BW$33))+1)</f>
        <v>0</v>
      </c>
    </row>
    <row r="682" spans="1:3" x14ac:dyDescent="0.25">
      <c r="A682">
        <v>682</v>
      </c>
      <c r="B682" cm="1">
        <f t="array" ref="B682">INDEX(Optimization!$F$4:$AI$33, INT((ROW()-1)/COLUMNS(Optimization!$F$4:$AI$33))+1, MOD(ROW()-1, COLUMNS(Optimization!$F$4:$AI$33))+1)</f>
        <v>0.25897736801827698</v>
      </c>
      <c r="C682" cm="1">
        <f t="array" ref="C682">INDEX(Optimization!$AT$4:$BW$33, INT((ROW()-1)/COLUMNS(Optimization!$AT$4:$BW$33))+1, MOD(ROW()-1, COLUMNS(Optimization!$AT$4:$BW$33))+1)</f>
        <v>0</v>
      </c>
    </row>
    <row r="683" spans="1:3" x14ac:dyDescent="0.25">
      <c r="A683">
        <v>683</v>
      </c>
      <c r="B683" cm="1">
        <f t="array" ref="B683">INDEX(Optimization!$F$4:$AI$33, INT((ROW()-1)/COLUMNS(Optimization!$F$4:$AI$33))+1, MOD(ROW()-1, COLUMNS(Optimization!$F$4:$AI$33))+1)</f>
        <v>0</v>
      </c>
      <c r="C683" cm="1">
        <f t="array" ref="C683">INDEX(Optimization!$AT$4:$BW$33, INT((ROW()-1)/COLUMNS(Optimization!$AT$4:$BW$33))+1, MOD(ROW()-1, COLUMNS(Optimization!$AT$4:$BW$33))+1)</f>
        <v>0</v>
      </c>
    </row>
    <row r="684" spans="1:3" x14ac:dyDescent="0.25">
      <c r="A684">
        <v>684</v>
      </c>
      <c r="B684" cm="1">
        <f t="array" ref="B684">INDEX(Optimization!$F$4:$AI$33, INT((ROW()-1)/COLUMNS(Optimization!$F$4:$AI$33))+1, MOD(ROW()-1, COLUMNS(Optimization!$F$4:$AI$33))+1)</f>
        <v>0.42429381047056702</v>
      </c>
      <c r="C684" cm="1">
        <f t="array" ref="C684">INDEX(Optimization!$AT$4:$BW$33, INT((ROW()-1)/COLUMNS(Optimization!$AT$4:$BW$33))+1, MOD(ROW()-1, COLUMNS(Optimization!$AT$4:$BW$33))+1)</f>
        <v>7</v>
      </c>
    </row>
    <row r="685" spans="1:3" x14ac:dyDescent="0.25">
      <c r="A685">
        <v>685</v>
      </c>
      <c r="B685" cm="1">
        <f t="array" ref="B685">INDEX(Optimization!$F$4:$AI$33, INT((ROW()-1)/COLUMNS(Optimization!$F$4:$AI$33))+1, MOD(ROW()-1, COLUMNS(Optimization!$F$4:$AI$33))+1)</f>
        <v>1.1460338473629601</v>
      </c>
      <c r="C685" cm="1">
        <f t="array" ref="C685">INDEX(Optimization!$AT$4:$BW$33, INT((ROW()-1)/COLUMNS(Optimization!$AT$4:$BW$33))+1, MOD(ROW()-1, COLUMNS(Optimization!$AT$4:$BW$33))+1)</f>
        <v>0</v>
      </c>
    </row>
    <row r="686" spans="1:3" x14ac:dyDescent="0.25">
      <c r="A686">
        <v>686</v>
      </c>
      <c r="B686" cm="1">
        <f t="array" ref="B686">INDEX(Optimization!$F$4:$AI$33, INT((ROW()-1)/COLUMNS(Optimization!$F$4:$AI$33))+1, MOD(ROW()-1, COLUMNS(Optimization!$F$4:$AI$33))+1)</f>
        <v>-1.67022289683854</v>
      </c>
      <c r="C686" cm="1">
        <f t="array" ref="C686">INDEX(Optimization!$AT$4:$BW$33, INT((ROW()-1)/COLUMNS(Optimization!$AT$4:$BW$33))+1, MOD(ROW()-1, COLUMNS(Optimization!$AT$4:$BW$33))+1)</f>
        <v>0</v>
      </c>
    </row>
    <row r="687" spans="1:3" x14ac:dyDescent="0.25">
      <c r="A687">
        <v>687</v>
      </c>
      <c r="B687" cm="1">
        <f t="array" ref="B687">INDEX(Optimization!$F$4:$AI$33, INT((ROW()-1)/COLUMNS(Optimization!$F$4:$AI$33))+1, MOD(ROW()-1, COLUMNS(Optimization!$F$4:$AI$33))+1)</f>
        <v>-0.94800575823734401</v>
      </c>
      <c r="C687" cm="1">
        <f t="array" ref="C687">INDEX(Optimization!$AT$4:$BW$33, INT((ROW()-1)/COLUMNS(Optimization!$AT$4:$BW$33))+1, MOD(ROW()-1, COLUMNS(Optimization!$AT$4:$BW$33))+1)</f>
        <v>47</v>
      </c>
    </row>
    <row r="688" spans="1:3" x14ac:dyDescent="0.25">
      <c r="A688">
        <v>688</v>
      </c>
      <c r="B688" cm="1">
        <f t="array" ref="B688">INDEX(Optimization!$F$4:$AI$33, INT((ROW()-1)/COLUMNS(Optimization!$F$4:$AI$33))+1, MOD(ROW()-1, COLUMNS(Optimization!$F$4:$AI$33))+1)</f>
        <v>1.33143069926559</v>
      </c>
      <c r="C688" cm="1">
        <f t="array" ref="C688">INDEX(Optimization!$AT$4:$BW$33, INT((ROW()-1)/COLUMNS(Optimization!$AT$4:$BW$33))+1, MOD(ROW()-1, COLUMNS(Optimization!$AT$4:$BW$33))+1)</f>
        <v>0</v>
      </c>
    </row>
    <row r="689" spans="1:3" x14ac:dyDescent="0.25">
      <c r="A689">
        <v>689</v>
      </c>
      <c r="B689" cm="1">
        <f t="array" ref="B689">INDEX(Optimization!$F$4:$AI$33, INT((ROW()-1)/COLUMNS(Optimization!$F$4:$AI$33))+1, MOD(ROW()-1, COLUMNS(Optimization!$F$4:$AI$33))+1)</f>
        <v>2.6363132847846402E-2</v>
      </c>
      <c r="C689" cm="1">
        <f t="array" ref="C689">INDEX(Optimization!$AT$4:$BW$33, INT((ROW()-1)/COLUMNS(Optimization!$AT$4:$BW$33))+1, MOD(ROW()-1, COLUMNS(Optimization!$AT$4:$BW$33))+1)</f>
        <v>80</v>
      </c>
    </row>
    <row r="690" spans="1:3" x14ac:dyDescent="0.25">
      <c r="A690">
        <v>690</v>
      </c>
      <c r="B690" cm="1">
        <f t="array" ref="B690">INDEX(Optimization!$F$4:$AI$33, INT((ROW()-1)/COLUMNS(Optimization!$F$4:$AI$33))+1, MOD(ROW()-1, COLUMNS(Optimization!$F$4:$AI$33))+1)</f>
        <v>0.20062861118400899</v>
      </c>
      <c r="C690" cm="1">
        <f t="array" ref="C690">INDEX(Optimization!$AT$4:$BW$33, INT((ROW()-1)/COLUMNS(Optimization!$AT$4:$BW$33))+1, MOD(ROW()-1, COLUMNS(Optimization!$AT$4:$BW$33))+1)</f>
        <v>113</v>
      </c>
    </row>
    <row r="691" spans="1:3" x14ac:dyDescent="0.25">
      <c r="A691">
        <v>691</v>
      </c>
      <c r="B691" cm="1">
        <f t="array" ref="B691">INDEX(Optimization!$F$4:$AI$33, INT((ROW()-1)/COLUMNS(Optimization!$F$4:$AI$33))+1, MOD(ROW()-1, COLUMNS(Optimization!$F$4:$AI$33))+1)</f>
        <v>-1.07955909697361</v>
      </c>
      <c r="C691" cm="1">
        <f t="array" ref="C691">INDEX(Optimization!$AT$4:$BW$33, INT((ROW()-1)/COLUMNS(Optimization!$AT$4:$BW$33))+1, MOD(ROW()-1, COLUMNS(Optimization!$AT$4:$BW$33))+1)</f>
        <v>0</v>
      </c>
    </row>
    <row r="692" spans="1:3" x14ac:dyDescent="0.25">
      <c r="A692">
        <v>692</v>
      </c>
      <c r="B692" cm="1">
        <f t="array" ref="B692">INDEX(Optimization!$F$4:$AI$33, INT((ROW()-1)/COLUMNS(Optimization!$F$4:$AI$33))+1, MOD(ROW()-1, COLUMNS(Optimization!$F$4:$AI$33))+1)</f>
        <v>1.43037744714909</v>
      </c>
      <c r="C692" cm="1">
        <f t="array" ref="C692">INDEX(Optimization!$AT$4:$BW$33, INT((ROW()-1)/COLUMNS(Optimization!$AT$4:$BW$33))+1, MOD(ROW()-1, COLUMNS(Optimization!$AT$4:$BW$33))+1)</f>
        <v>0</v>
      </c>
    </row>
    <row r="693" spans="1:3" x14ac:dyDescent="0.25">
      <c r="A693">
        <v>693</v>
      </c>
      <c r="B693" cm="1">
        <f t="array" ref="B693">INDEX(Optimization!$F$4:$AI$33, INT((ROW()-1)/COLUMNS(Optimization!$F$4:$AI$33))+1, MOD(ROW()-1, COLUMNS(Optimization!$F$4:$AI$33))+1)</f>
        <v>0.390532211778785</v>
      </c>
      <c r="C693" cm="1">
        <f t="array" ref="C693">INDEX(Optimization!$AT$4:$BW$33, INT((ROW()-1)/COLUMNS(Optimization!$AT$4:$BW$33))+1, MOD(ROW()-1, COLUMNS(Optimization!$AT$4:$BW$33))+1)</f>
        <v>0</v>
      </c>
    </row>
    <row r="694" spans="1:3" x14ac:dyDescent="0.25">
      <c r="A694">
        <v>694</v>
      </c>
      <c r="B694" cm="1">
        <f t="array" ref="B694">INDEX(Optimization!$F$4:$AI$33, INT((ROW()-1)/COLUMNS(Optimization!$F$4:$AI$33))+1, MOD(ROW()-1, COLUMNS(Optimization!$F$4:$AI$33))+1)</f>
        <v>1.28703503915816</v>
      </c>
      <c r="C694" cm="1">
        <f t="array" ref="C694">INDEX(Optimization!$AT$4:$BW$33, INT((ROW()-1)/COLUMNS(Optimization!$AT$4:$BW$33))+1, MOD(ROW()-1, COLUMNS(Optimization!$AT$4:$BW$33))+1)</f>
        <v>0</v>
      </c>
    </row>
    <row r="695" spans="1:3" x14ac:dyDescent="0.25">
      <c r="A695">
        <v>695</v>
      </c>
      <c r="B695" cm="1">
        <f t="array" ref="B695">INDEX(Optimization!$F$4:$AI$33, INT((ROW()-1)/COLUMNS(Optimization!$F$4:$AI$33))+1, MOD(ROW()-1, COLUMNS(Optimization!$F$4:$AI$33))+1)</f>
        <v>0.24228623987006401</v>
      </c>
      <c r="C695" cm="1">
        <f t="array" ref="C695">INDEX(Optimization!$AT$4:$BW$33, INT((ROW()-1)/COLUMNS(Optimization!$AT$4:$BW$33))+1, MOD(ROW()-1, COLUMNS(Optimization!$AT$4:$BW$33))+1)</f>
        <v>0</v>
      </c>
    </row>
    <row r="696" spans="1:3" x14ac:dyDescent="0.25">
      <c r="A696">
        <v>696</v>
      </c>
      <c r="B696" cm="1">
        <f t="array" ref="B696">INDEX(Optimization!$F$4:$AI$33, INT((ROW()-1)/COLUMNS(Optimization!$F$4:$AI$33))+1, MOD(ROW()-1, COLUMNS(Optimization!$F$4:$AI$33))+1)</f>
        <v>0.12696914452868599</v>
      </c>
      <c r="C696" cm="1">
        <f t="array" ref="C696">INDEX(Optimization!$AT$4:$BW$33, INT((ROW()-1)/COLUMNS(Optimization!$AT$4:$BW$33))+1, MOD(ROW()-1, COLUMNS(Optimization!$AT$4:$BW$33))+1)</f>
        <v>0</v>
      </c>
    </row>
    <row r="697" spans="1:3" x14ac:dyDescent="0.25">
      <c r="A697">
        <v>697</v>
      </c>
      <c r="B697" cm="1">
        <f t="array" ref="B697">INDEX(Optimization!$F$4:$AI$33, INT((ROW()-1)/COLUMNS(Optimization!$F$4:$AI$33))+1, MOD(ROW()-1, COLUMNS(Optimization!$F$4:$AI$33))+1)</f>
        <v>-0.72076685264583495</v>
      </c>
      <c r="C697" cm="1">
        <f t="array" ref="C697">INDEX(Optimization!$AT$4:$BW$33, INT((ROW()-1)/COLUMNS(Optimization!$AT$4:$BW$33))+1, MOD(ROW()-1, COLUMNS(Optimization!$AT$4:$BW$33))+1)</f>
        <v>0</v>
      </c>
    </row>
    <row r="698" spans="1:3" x14ac:dyDescent="0.25">
      <c r="A698">
        <v>698</v>
      </c>
      <c r="B698" cm="1">
        <f t="array" ref="B698">INDEX(Optimization!$F$4:$AI$33, INT((ROW()-1)/COLUMNS(Optimization!$F$4:$AI$33))+1, MOD(ROW()-1, COLUMNS(Optimization!$F$4:$AI$33))+1)</f>
        <v>2.6586836751998001E-2</v>
      </c>
      <c r="C698" cm="1">
        <f t="array" ref="C698">INDEX(Optimization!$AT$4:$BW$33, INT((ROW()-1)/COLUMNS(Optimization!$AT$4:$BW$33))+1, MOD(ROW()-1, COLUMNS(Optimization!$AT$4:$BW$33))+1)</f>
        <v>0</v>
      </c>
    </row>
    <row r="699" spans="1:3" x14ac:dyDescent="0.25">
      <c r="A699">
        <v>699</v>
      </c>
      <c r="B699" cm="1">
        <f t="array" ref="B699">INDEX(Optimization!$F$4:$AI$33, INT((ROW()-1)/COLUMNS(Optimization!$F$4:$AI$33))+1, MOD(ROW()-1, COLUMNS(Optimization!$F$4:$AI$33))+1)</f>
        <v>9.69608165848454E-2</v>
      </c>
      <c r="C699" cm="1">
        <f t="array" ref="C699">INDEX(Optimization!$AT$4:$BW$33, INT((ROW()-1)/COLUMNS(Optimization!$AT$4:$BW$33))+1, MOD(ROW()-1, COLUMNS(Optimization!$AT$4:$BW$33))+1)</f>
        <v>32</v>
      </c>
    </row>
    <row r="700" spans="1:3" x14ac:dyDescent="0.25">
      <c r="A700">
        <v>700</v>
      </c>
      <c r="B700" cm="1">
        <f t="array" ref="B700">INDEX(Optimization!$F$4:$AI$33, INT((ROW()-1)/COLUMNS(Optimization!$F$4:$AI$33))+1, MOD(ROW()-1, COLUMNS(Optimization!$F$4:$AI$33))+1)</f>
        <v>-1.07554636895884</v>
      </c>
      <c r="C700" cm="1">
        <f t="array" ref="C700">INDEX(Optimization!$AT$4:$BW$33, INT((ROW()-1)/COLUMNS(Optimization!$AT$4:$BW$33))+1, MOD(ROW()-1, COLUMNS(Optimization!$AT$4:$BW$33))+1)</f>
        <v>0</v>
      </c>
    </row>
    <row r="701" spans="1:3" x14ac:dyDescent="0.25">
      <c r="A701">
        <v>701</v>
      </c>
      <c r="B701" cm="1">
        <f t="array" ref="B701">INDEX(Optimization!$F$4:$AI$33, INT((ROW()-1)/COLUMNS(Optimization!$F$4:$AI$33))+1, MOD(ROW()-1, COLUMNS(Optimization!$F$4:$AI$33))+1)</f>
        <v>-1.33773665603104E-2</v>
      </c>
      <c r="C701" cm="1">
        <f t="array" ref="C701">INDEX(Optimization!$AT$4:$BW$33, INT((ROW()-1)/COLUMNS(Optimization!$AT$4:$BW$33))+1, MOD(ROW()-1, COLUMNS(Optimization!$AT$4:$BW$33))+1)</f>
        <v>63</v>
      </c>
    </row>
    <row r="702" spans="1:3" x14ac:dyDescent="0.25">
      <c r="A702">
        <v>702</v>
      </c>
      <c r="B702" cm="1">
        <f t="array" ref="B702">INDEX(Optimization!$F$4:$AI$33, INT((ROW()-1)/COLUMNS(Optimization!$F$4:$AI$33))+1, MOD(ROW()-1, COLUMNS(Optimization!$F$4:$AI$33))+1)</f>
        <v>0.115432832862902</v>
      </c>
      <c r="C702" cm="1">
        <f t="array" ref="C702">INDEX(Optimization!$AT$4:$BW$33, INT((ROW()-1)/COLUMNS(Optimization!$AT$4:$BW$33))+1, MOD(ROW()-1, COLUMNS(Optimization!$AT$4:$BW$33))+1)</f>
        <v>21</v>
      </c>
    </row>
    <row r="703" spans="1:3" x14ac:dyDescent="0.25">
      <c r="A703">
        <v>703</v>
      </c>
      <c r="B703" cm="1">
        <f t="array" ref="B703">INDEX(Optimization!$F$4:$AI$33, INT((ROW()-1)/COLUMNS(Optimization!$F$4:$AI$33))+1, MOD(ROW()-1, COLUMNS(Optimization!$F$4:$AI$33))+1)</f>
        <v>-0.509930535091492</v>
      </c>
      <c r="C703" cm="1">
        <f t="array" ref="C703">INDEX(Optimization!$AT$4:$BW$33, INT((ROW()-1)/COLUMNS(Optimization!$AT$4:$BW$33))+1, MOD(ROW()-1, COLUMNS(Optimization!$AT$4:$BW$33))+1)</f>
        <v>0</v>
      </c>
    </row>
    <row r="704" spans="1:3" x14ac:dyDescent="0.25">
      <c r="A704">
        <v>704</v>
      </c>
      <c r="B704" cm="1">
        <f t="array" ref="B704">INDEX(Optimization!$F$4:$AI$33, INT((ROW()-1)/COLUMNS(Optimization!$F$4:$AI$33))+1, MOD(ROW()-1, COLUMNS(Optimization!$F$4:$AI$33))+1)</f>
        <v>0.29034041954839401</v>
      </c>
      <c r="C704" cm="1">
        <f t="array" ref="C704">INDEX(Optimization!$AT$4:$BW$33, INT((ROW()-1)/COLUMNS(Optimization!$AT$4:$BW$33))+1, MOD(ROW()-1, COLUMNS(Optimization!$AT$4:$BW$33))+1)</f>
        <v>0</v>
      </c>
    </row>
    <row r="705" spans="1:3" x14ac:dyDescent="0.25">
      <c r="A705">
        <v>705</v>
      </c>
      <c r="B705" cm="1">
        <f t="array" ref="B705">INDEX(Optimization!$F$4:$AI$33, INT((ROW()-1)/COLUMNS(Optimization!$F$4:$AI$33))+1, MOD(ROW()-1, COLUMNS(Optimization!$F$4:$AI$33))+1)</f>
        <v>-0.85745966903321003</v>
      </c>
      <c r="C705" cm="1">
        <f t="array" ref="C705">INDEX(Optimization!$AT$4:$BW$33, INT((ROW()-1)/COLUMNS(Optimization!$AT$4:$BW$33))+1, MOD(ROW()-1, COLUMNS(Optimization!$AT$4:$BW$33))+1)</f>
        <v>67</v>
      </c>
    </row>
    <row r="706" spans="1:3" x14ac:dyDescent="0.25">
      <c r="A706">
        <v>706</v>
      </c>
      <c r="B706" cm="1">
        <f t="array" ref="B706">INDEX(Optimization!$F$4:$AI$33, INT((ROW()-1)/COLUMNS(Optimization!$F$4:$AI$33))+1, MOD(ROW()-1, COLUMNS(Optimization!$F$4:$AI$33))+1)</f>
        <v>-0.40569876210836198</v>
      </c>
      <c r="C706" cm="1">
        <f t="array" ref="C706">INDEX(Optimization!$AT$4:$BW$33, INT((ROW()-1)/COLUMNS(Optimization!$AT$4:$BW$33))+1, MOD(ROW()-1, COLUMNS(Optimization!$AT$4:$BW$33))+1)</f>
        <v>0</v>
      </c>
    </row>
    <row r="707" spans="1:3" x14ac:dyDescent="0.25">
      <c r="A707">
        <v>707</v>
      </c>
      <c r="B707" cm="1">
        <f t="array" ref="B707">INDEX(Optimization!$F$4:$AI$33, INT((ROW()-1)/COLUMNS(Optimization!$F$4:$AI$33))+1, MOD(ROW()-1, COLUMNS(Optimization!$F$4:$AI$33))+1)</f>
        <v>7.4523533822324406E-2</v>
      </c>
      <c r="C707" cm="1">
        <f t="array" ref="C707">INDEX(Optimization!$AT$4:$BW$33, INT((ROW()-1)/COLUMNS(Optimization!$AT$4:$BW$33))+1, MOD(ROW()-1, COLUMNS(Optimization!$AT$4:$BW$33))+1)</f>
        <v>10</v>
      </c>
    </row>
    <row r="708" spans="1:3" x14ac:dyDescent="0.25">
      <c r="A708">
        <v>708</v>
      </c>
      <c r="B708" cm="1">
        <f t="array" ref="B708">INDEX(Optimization!$F$4:$AI$33, INT((ROW()-1)/COLUMNS(Optimization!$F$4:$AI$33))+1, MOD(ROW()-1, COLUMNS(Optimization!$F$4:$AI$33))+1)</f>
        <v>-0.42786752273906797</v>
      </c>
      <c r="C708" cm="1">
        <f t="array" ref="C708">INDEX(Optimization!$AT$4:$BW$33, INT((ROW()-1)/COLUMNS(Optimization!$AT$4:$BW$33))+1, MOD(ROW()-1, COLUMNS(Optimization!$AT$4:$BW$33))+1)</f>
        <v>0</v>
      </c>
    </row>
    <row r="709" spans="1:3" x14ac:dyDescent="0.25">
      <c r="A709">
        <v>709</v>
      </c>
      <c r="B709" cm="1">
        <f t="array" ref="B709">INDEX(Optimization!$F$4:$AI$33, INT((ROW()-1)/COLUMNS(Optimization!$F$4:$AI$33))+1, MOD(ROW()-1, COLUMNS(Optimization!$F$4:$AI$33))+1)</f>
        <v>0.298253837986107</v>
      </c>
      <c r="C709" cm="1">
        <f t="array" ref="C709">INDEX(Optimization!$AT$4:$BW$33, INT((ROW()-1)/COLUMNS(Optimization!$AT$4:$BW$33))+1, MOD(ROW()-1, COLUMNS(Optimization!$AT$4:$BW$33))+1)</f>
        <v>0</v>
      </c>
    </row>
    <row r="710" spans="1:3" x14ac:dyDescent="0.25">
      <c r="A710">
        <v>710</v>
      </c>
      <c r="B710" cm="1">
        <f t="array" ref="B710">INDEX(Optimization!$F$4:$AI$33, INT((ROW()-1)/COLUMNS(Optimization!$F$4:$AI$33))+1, MOD(ROW()-1, COLUMNS(Optimization!$F$4:$AI$33))+1)</f>
        <v>-0.25654466379063001</v>
      </c>
      <c r="C710" cm="1">
        <f t="array" ref="C710">INDEX(Optimization!$AT$4:$BW$33, INT((ROW()-1)/COLUMNS(Optimization!$AT$4:$BW$33))+1, MOD(ROW()-1, COLUMNS(Optimization!$AT$4:$BW$33))+1)</f>
        <v>0</v>
      </c>
    </row>
    <row r="711" spans="1:3" x14ac:dyDescent="0.25">
      <c r="A711">
        <v>711</v>
      </c>
      <c r="B711" cm="1">
        <f t="array" ref="B711">INDEX(Optimization!$F$4:$AI$33, INT((ROW()-1)/COLUMNS(Optimization!$F$4:$AI$33))+1, MOD(ROW()-1, COLUMNS(Optimization!$F$4:$AI$33))+1)</f>
        <v>-0.61809276820024195</v>
      </c>
      <c r="C711" cm="1">
        <f t="array" ref="C711">INDEX(Optimization!$AT$4:$BW$33, INT((ROW()-1)/COLUMNS(Optimization!$AT$4:$BW$33))+1, MOD(ROW()-1, COLUMNS(Optimization!$AT$4:$BW$33))+1)</f>
        <v>0</v>
      </c>
    </row>
    <row r="712" spans="1:3" x14ac:dyDescent="0.25">
      <c r="A712">
        <v>712</v>
      </c>
      <c r="B712" cm="1">
        <f t="array" ref="B712">INDEX(Optimization!$F$4:$AI$33, INT((ROW()-1)/COLUMNS(Optimization!$F$4:$AI$33))+1, MOD(ROW()-1, COLUMNS(Optimization!$F$4:$AI$33))+1)</f>
        <v>0.65873635814939002</v>
      </c>
      <c r="C712" cm="1">
        <f t="array" ref="C712">INDEX(Optimization!$AT$4:$BW$33, INT((ROW()-1)/COLUMNS(Optimization!$AT$4:$BW$33))+1, MOD(ROW()-1, COLUMNS(Optimization!$AT$4:$BW$33))+1)</f>
        <v>0</v>
      </c>
    </row>
    <row r="713" spans="1:3" x14ac:dyDescent="0.25">
      <c r="A713">
        <v>713</v>
      </c>
      <c r="B713" cm="1">
        <f t="array" ref="B713">INDEX(Optimization!$F$4:$AI$33, INT((ROW()-1)/COLUMNS(Optimization!$F$4:$AI$33))+1, MOD(ROW()-1, COLUMNS(Optimization!$F$4:$AI$33))+1)</f>
        <v>0.42429381047056702</v>
      </c>
      <c r="C713" cm="1">
        <f t="array" ref="C713">INDEX(Optimization!$AT$4:$BW$33, INT((ROW()-1)/COLUMNS(Optimization!$AT$4:$BW$33))+1, MOD(ROW()-1, COLUMNS(Optimization!$AT$4:$BW$33))+1)</f>
        <v>0</v>
      </c>
    </row>
    <row r="714" spans="1:3" x14ac:dyDescent="0.25">
      <c r="A714">
        <v>714</v>
      </c>
      <c r="B714" cm="1">
        <f t="array" ref="B714">INDEX(Optimization!$F$4:$AI$33, INT((ROW()-1)/COLUMNS(Optimization!$F$4:$AI$33))+1, MOD(ROW()-1, COLUMNS(Optimization!$F$4:$AI$33))+1)</f>
        <v>0</v>
      </c>
      <c r="C714" cm="1">
        <f t="array" ref="C714">INDEX(Optimization!$AT$4:$BW$33, INT((ROW()-1)/COLUMNS(Optimization!$AT$4:$BW$33))+1, MOD(ROW()-1, COLUMNS(Optimization!$AT$4:$BW$33))+1)</f>
        <v>4</v>
      </c>
    </row>
    <row r="715" spans="1:3" x14ac:dyDescent="0.25">
      <c r="A715">
        <v>715</v>
      </c>
      <c r="B715" cm="1">
        <f t="array" ref="B715">INDEX(Optimization!$F$4:$AI$33, INT((ROW()-1)/COLUMNS(Optimization!$F$4:$AI$33))+1, MOD(ROW()-1, COLUMNS(Optimization!$F$4:$AI$33))+1)</f>
        <v>8.6163573849880604E-2</v>
      </c>
      <c r="C715" cm="1">
        <f t="array" ref="C715">INDEX(Optimization!$AT$4:$BW$33, INT((ROW()-1)/COLUMNS(Optimization!$AT$4:$BW$33))+1, MOD(ROW()-1, COLUMNS(Optimization!$AT$4:$BW$33))+1)</f>
        <v>0</v>
      </c>
    </row>
    <row r="716" spans="1:3" x14ac:dyDescent="0.25">
      <c r="A716">
        <v>716</v>
      </c>
      <c r="B716" cm="1">
        <f t="array" ref="B716">INDEX(Optimization!$F$4:$AI$33, INT((ROW()-1)/COLUMNS(Optimization!$F$4:$AI$33))+1, MOD(ROW()-1, COLUMNS(Optimization!$F$4:$AI$33))+1)</f>
        <v>-0.49617690473235798</v>
      </c>
      <c r="C716" cm="1">
        <f t="array" ref="C716">INDEX(Optimization!$AT$4:$BW$33, INT((ROW()-1)/COLUMNS(Optimization!$AT$4:$BW$33))+1, MOD(ROW()-1, COLUMNS(Optimization!$AT$4:$BW$33))+1)</f>
        <v>0</v>
      </c>
    </row>
    <row r="717" spans="1:3" x14ac:dyDescent="0.25">
      <c r="A717">
        <v>717</v>
      </c>
      <c r="B717" cm="1">
        <f t="array" ref="B717">INDEX(Optimization!$F$4:$AI$33, INT((ROW()-1)/COLUMNS(Optimization!$F$4:$AI$33))+1, MOD(ROW()-1, COLUMNS(Optimization!$F$4:$AI$33))+1)</f>
        <v>0.79823306242803904</v>
      </c>
      <c r="C717" cm="1">
        <f t="array" ref="C717">INDEX(Optimization!$AT$4:$BW$33, INT((ROW()-1)/COLUMNS(Optimization!$AT$4:$BW$33))+1, MOD(ROW()-1, COLUMNS(Optimization!$AT$4:$BW$33))+1)</f>
        <v>28</v>
      </c>
    </row>
    <row r="718" spans="1:3" x14ac:dyDescent="0.25">
      <c r="A718">
        <v>718</v>
      </c>
      <c r="B718" cm="1">
        <f t="array" ref="B718">INDEX(Optimization!$F$4:$AI$33, INT((ROW()-1)/COLUMNS(Optimization!$F$4:$AI$33))+1, MOD(ROW()-1, COLUMNS(Optimization!$F$4:$AI$33))+1)</f>
        <v>3.9216625781124899E-2</v>
      </c>
      <c r="C718" cm="1">
        <f t="array" ref="C718">INDEX(Optimization!$AT$4:$BW$33, INT((ROW()-1)/COLUMNS(Optimization!$AT$4:$BW$33))+1, MOD(ROW()-1, COLUMNS(Optimization!$AT$4:$BW$33))+1)</f>
        <v>0</v>
      </c>
    </row>
    <row r="719" spans="1:3" x14ac:dyDescent="0.25">
      <c r="A719">
        <v>719</v>
      </c>
      <c r="B719" cm="1">
        <f t="array" ref="B719">INDEX(Optimization!$F$4:$AI$33, INT((ROW()-1)/COLUMNS(Optimization!$F$4:$AI$33))+1, MOD(ROW()-1, COLUMNS(Optimization!$F$4:$AI$33))+1)</f>
        <v>0.567715437735543</v>
      </c>
      <c r="C719" cm="1">
        <f t="array" ref="C719">INDEX(Optimization!$AT$4:$BW$33, INT((ROW()-1)/COLUMNS(Optimization!$AT$4:$BW$33))+1, MOD(ROW()-1, COLUMNS(Optimization!$AT$4:$BW$33))+1)</f>
        <v>48</v>
      </c>
    </row>
    <row r="720" spans="1:3" x14ac:dyDescent="0.25">
      <c r="A720">
        <v>720</v>
      </c>
      <c r="B720" cm="1">
        <f t="array" ref="B720">INDEX(Optimization!$F$4:$AI$33, INT((ROW()-1)/COLUMNS(Optimization!$F$4:$AI$33))+1, MOD(ROW()-1, COLUMNS(Optimization!$F$4:$AI$33))+1)</f>
        <v>0.150457698554741</v>
      </c>
      <c r="C720" cm="1">
        <f t="array" ref="C720">INDEX(Optimization!$AT$4:$BW$33, INT((ROW()-1)/COLUMNS(Optimization!$AT$4:$BW$33))+1, MOD(ROW()-1, COLUMNS(Optimization!$AT$4:$BW$33))+1)</f>
        <v>68</v>
      </c>
    </row>
    <row r="721" spans="1:3" x14ac:dyDescent="0.25">
      <c r="A721">
        <v>721</v>
      </c>
      <c r="B721" cm="1">
        <f t="array" ref="B721">INDEX(Optimization!$F$4:$AI$33, INT((ROW()-1)/COLUMNS(Optimization!$F$4:$AI$33))+1, MOD(ROW()-1, COLUMNS(Optimization!$F$4:$AI$33))+1)</f>
        <v>-0.399086772003309</v>
      </c>
      <c r="C721" cm="1">
        <f t="array" ref="C721">INDEX(Optimization!$AT$4:$BW$33, INT((ROW()-1)/COLUMNS(Optimization!$AT$4:$BW$33))+1, MOD(ROW()-1, COLUMNS(Optimization!$AT$4:$BW$33))+1)</f>
        <v>0</v>
      </c>
    </row>
    <row r="722" spans="1:3" x14ac:dyDescent="0.25">
      <c r="A722">
        <v>722</v>
      </c>
      <c r="B722" cm="1">
        <f t="array" ref="B722">INDEX(Optimization!$F$4:$AI$33, INT((ROW()-1)/COLUMNS(Optimization!$F$4:$AI$33))+1, MOD(ROW()-1, COLUMNS(Optimization!$F$4:$AI$33))+1)</f>
        <v>0.73773059316831002</v>
      </c>
      <c r="C722" cm="1">
        <f t="array" ref="C722">INDEX(Optimization!$AT$4:$BW$33, INT((ROW()-1)/COLUMNS(Optimization!$AT$4:$BW$33))+1, MOD(ROW()-1, COLUMNS(Optimization!$AT$4:$BW$33))+1)</f>
        <v>0</v>
      </c>
    </row>
    <row r="723" spans="1:3" x14ac:dyDescent="0.25">
      <c r="A723">
        <v>723</v>
      </c>
      <c r="B723" cm="1">
        <f t="array" ref="B723">INDEX(Optimization!$F$4:$AI$33, INT((ROW()-1)/COLUMNS(Optimization!$F$4:$AI$33))+1, MOD(ROW()-1, COLUMNS(Optimization!$F$4:$AI$33))+1)</f>
        <v>0.59821355644711105</v>
      </c>
      <c r="C723" cm="1">
        <f t="array" ref="C723">INDEX(Optimization!$AT$4:$BW$33, INT((ROW()-1)/COLUMNS(Optimization!$AT$4:$BW$33))+1, MOD(ROW()-1, COLUMNS(Optimization!$AT$4:$BW$33))+1)</f>
        <v>0</v>
      </c>
    </row>
    <row r="724" spans="1:3" x14ac:dyDescent="0.25">
      <c r="A724">
        <v>724</v>
      </c>
      <c r="B724" cm="1">
        <f t="array" ref="B724">INDEX(Optimization!$F$4:$AI$33, INT((ROW()-1)/COLUMNS(Optimization!$F$4:$AI$33))+1, MOD(ROW()-1, COLUMNS(Optimization!$F$4:$AI$33))+1)</f>
        <v>-0.35039700478039398</v>
      </c>
      <c r="C724" cm="1">
        <f t="array" ref="C724">INDEX(Optimization!$AT$4:$BW$33, INT((ROW()-1)/COLUMNS(Optimization!$AT$4:$BW$33))+1, MOD(ROW()-1, COLUMNS(Optimization!$AT$4:$BW$33))+1)</f>
        <v>0</v>
      </c>
    </row>
    <row r="725" spans="1:3" x14ac:dyDescent="0.25">
      <c r="A725">
        <v>725</v>
      </c>
      <c r="B725" cm="1">
        <f t="array" ref="B725">INDEX(Optimization!$F$4:$AI$33, INT((ROW()-1)/COLUMNS(Optimization!$F$4:$AI$33))+1, MOD(ROW()-1, COLUMNS(Optimization!$F$4:$AI$33))+1)</f>
        <v>-0.14624220702415699</v>
      </c>
      <c r="C725" cm="1">
        <f t="array" ref="C725">INDEX(Optimization!$AT$4:$BW$33, INT((ROW()-1)/COLUMNS(Optimization!$AT$4:$BW$33))+1, MOD(ROW()-1, COLUMNS(Optimization!$AT$4:$BW$33))+1)</f>
        <v>0</v>
      </c>
    </row>
    <row r="726" spans="1:3" x14ac:dyDescent="0.25">
      <c r="A726">
        <v>726</v>
      </c>
      <c r="B726" cm="1">
        <f t="array" ref="B726">INDEX(Optimization!$F$4:$AI$33, INT((ROW()-1)/COLUMNS(Optimization!$F$4:$AI$33))+1, MOD(ROW()-1, COLUMNS(Optimization!$F$4:$AI$33))+1)</f>
        <v>-0.110164523394577</v>
      </c>
      <c r="C726" cm="1">
        <f t="array" ref="C726">INDEX(Optimization!$AT$4:$BW$33, INT((ROW()-1)/COLUMNS(Optimization!$AT$4:$BW$33))+1, MOD(ROW()-1, COLUMNS(Optimization!$AT$4:$BW$33))+1)</f>
        <v>0</v>
      </c>
    </row>
    <row r="727" spans="1:3" x14ac:dyDescent="0.25">
      <c r="A727">
        <v>727</v>
      </c>
      <c r="B727" cm="1">
        <f t="array" ref="B727">INDEX(Optimization!$F$4:$AI$33, INT((ROW()-1)/COLUMNS(Optimization!$F$4:$AI$33))+1, MOD(ROW()-1, COLUMNS(Optimization!$F$4:$AI$33))+1)</f>
        <v>-0.19473584664238799</v>
      </c>
      <c r="C727" cm="1">
        <f t="array" ref="C727">INDEX(Optimization!$AT$4:$BW$33, INT((ROW()-1)/COLUMNS(Optimization!$AT$4:$BW$33))+1, MOD(ROW()-1, COLUMNS(Optimization!$AT$4:$BW$33))+1)</f>
        <v>0</v>
      </c>
    </row>
    <row r="728" spans="1:3" x14ac:dyDescent="0.25">
      <c r="A728">
        <v>728</v>
      </c>
      <c r="B728" cm="1">
        <f t="array" ref="B728">INDEX(Optimization!$F$4:$AI$33, INT((ROW()-1)/COLUMNS(Optimization!$F$4:$AI$33))+1, MOD(ROW()-1, COLUMNS(Optimization!$F$4:$AI$33))+1)</f>
        <v>-1.72763802593741</v>
      </c>
      <c r="C728" cm="1">
        <f t="array" ref="C728">INDEX(Optimization!$AT$4:$BW$33, INT((ROW()-1)/COLUMNS(Optimization!$AT$4:$BW$33))+1, MOD(ROW()-1, COLUMNS(Optimization!$AT$4:$BW$33))+1)</f>
        <v>0</v>
      </c>
    </row>
    <row r="729" spans="1:3" x14ac:dyDescent="0.25">
      <c r="A729">
        <v>729</v>
      </c>
      <c r="B729" cm="1">
        <f t="array" ref="B729">INDEX(Optimization!$F$4:$AI$33, INT((ROW()-1)/COLUMNS(Optimization!$F$4:$AI$33))+1, MOD(ROW()-1, COLUMNS(Optimization!$F$4:$AI$33))+1)</f>
        <v>-0.30216287967738698</v>
      </c>
      <c r="C729" cm="1">
        <f t="array" ref="C729">INDEX(Optimization!$AT$4:$BW$33, INT((ROW()-1)/COLUMNS(Optimization!$AT$4:$BW$33))+1, MOD(ROW()-1, COLUMNS(Optimization!$AT$4:$BW$33))+1)</f>
        <v>0</v>
      </c>
    </row>
    <row r="730" spans="1:3" x14ac:dyDescent="0.25">
      <c r="A730">
        <v>730</v>
      </c>
      <c r="B730" cm="1">
        <f t="array" ref="B730">INDEX(Optimization!$F$4:$AI$33, INT((ROW()-1)/COLUMNS(Optimization!$F$4:$AI$33))+1, MOD(ROW()-1, COLUMNS(Optimization!$F$4:$AI$33))+1)</f>
        <v>0.21853869527608699</v>
      </c>
      <c r="C730" cm="1">
        <f t="array" ref="C730">INDEX(Optimization!$AT$4:$BW$33, INT((ROW()-1)/COLUMNS(Optimization!$AT$4:$BW$33))+1, MOD(ROW()-1, COLUMNS(Optimization!$AT$4:$BW$33))+1)</f>
        <v>0</v>
      </c>
    </row>
    <row r="731" spans="1:3" x14ac:dyDescent="0.25">
      <c r="A731">
        <v>731</v>
      </c>
      <c r="B731" cm="1">
        <f t="array" ref="B731">INDEX(Optimization!$F$4:$AI$33, INT((ROW()-1)/COLUMNS(Optimization!$F$4:$AI$33))+1, MOD(ROW()-1, COLUMNS(Optimization!$F$4:$AI$33))+1)</f>
        <v>1.73352545860914</v>
      </c>
      <c r="C731" cm="1">
        <f t="array" ref="C731">INDEX(Optimization!$AT$4:$BW$33, INT((ROW()-1)/COLUMNS(Optimization!$AT$4:$BW$33))+1, MOD(ROW()-1, COLUMNS(Optimization!$AT$4:$BW$33))+1)</f>
        <v>0</v>
      </c>
    </row>
    <row r="732" spans="1:3" x14ac:dyDescent="0.25">
      <c r="A732">
        <v>732</v>
      </c>
      <c r="B732" cm="1">
        <f t="array" ref="B732">INDEX(Optimization!$F$4:$AI$33, INT((ROW()-1)/COLUMNS(Optimization!$F$4:$AI$33))+1, MOD(ROW()-1, COLUMNS(Optimization!$F$4:$AI$33))+1)</f>
        <v>-1.03423417994375</v>
      </c>
      <c r="C732" cm="1">
        <f t="array" ref="C732">INDEX(Optimization!$AT$4:$BW$33, INT((ROW()-1)/COLUMNS(Optimization!$AT$4:$BW$33))+1, MOD(ROW()-1, COLUMNS(Optimization!$AT$4:$BW$33))+1)</f>
        <v>0</v>
      </c>
    </row>
    <row r="733" spans="1:3" x14ac:dyDescent="0.25">
      <c r="A733">
        <v>733</v>
      </c>
      <c r="B733" cm="1">
        <f t="array" ref="B733">INDEX(Optimization!$F$4:$AI$33, INT((ROW()-1)/COLUMNS(Optimization!$F$4:$AI$33))+1, MOD(ROW()-1, COLUMNS(Optimization!$F$4:$AI$33))+1)</f>
        <v>-0.44939574390970899</v>
      </c>
      <c r="C733" cm="1">
        <f t="array" ref="C733">INDEX(Optimization!$AT$4:$BW$33, INT((ROW()-1)/COLUMNS(Optimization!$AT$4:$BW$33))+1, MOD(ROW()-1, COLUMNS(Optimization!$AT$4:$BW$33))+1)</f>
        <v>0</v>
      </c>
    </row>
    <row r="734" spans="1:3" x14ac:dyDescent="0.25">
      <c r="A734">
        <v>734</v>
      </c>
      <c r="B734" cm="1">
        <f t="array" ref="B734">INDEX(Optimization!$F$4:$AI$33, INT((ROW()-1)/COLUMNS(Optimization!$F$4:$AI$33))+1, MOD(ROW()-1, COLUMNS(Optimization!$F$4:$AI$33))+1)</f>
        <v>-0.27257046546181801</v>
      </c>
      <c r="C734" cm="1">
        <f t="array" ref="C734">INDEX(Optimization!$AT$4:$BW$33, INT((ROW()-1)/COLUMNS(Optimization!$AT$4:$BW$33))+1, MOD(ROW()-1, COLUMNS(Optimization!$AT$4:$BW$33))+1)</f>
        <v>0</v>
      </c>
    </row>
    <row r="735" spans="1:3" x14ac:dyDescent="0.25">
      <c r="A735">
        <v>735</v>
      </c>
      <c r="B735" cm="1">
        <f t="array" ref="B735">INDEX(Optimization!$F$4:$AI$33, INT((ROW()-1)/COLUMNS(Optimization!$F$4:$AI$33))+1, MOD(ROW()-1, COLUMNS(Optimization!$F$4:$AI$33))+1)</f>
        <v>-0.66629084509919601</v>
      </c>
      <c r="C735" cm="1">
        <f t="array" ref="C735">INDEX(Optimization!$AT$4:$BW$33, INT((ROW()-1)/COLUMNS(Optimization!$AT$4:$BW$33))+1, MOD(ROW()-1, COLUMNS(Optimization!$AT$4:$BW$33))+1)</f>
        <v>0</v>
      </c>
    </row>
    <row r="736" spans="1:3" x14ac:dyDescent="0.25">
      <c r="A736">
        <v>736</v>
      </c>
      <c r="B736" cm="1">
        <f t="array" ref="B736">INDEX(Optimization!$F$4:$AI$33, INT((ROW()-1)/COLUMNS(Optimization!$F$4:$AI$33))+1, MOD(ROW()-1, COLUMNS(Optimization!$F$4:$AI$33))+1)</f>
        <v>-0.47642953027695001</v>
      </c>
      <c r="C736" cm="1">
        <f t="array" ref="C736">INDEX(Optimization!$AT$4:$BW$33, INT((ROW()-1)/COLUMNS(Optimization!$AT$4:$BW$33))+1, MOD(ROW()-1, COLUMNS(Optimization!$AT$4:$BW$33))+1)</f>
        <v>0</v>
      </c>
    </row>
    <row r="737" spans="1:3" x14ac:dyDescent="0.25">
      <c r="A737">
        <v>737</v>
      </c>
      <c r="B737" cm="1">
        <f t="array" ref="B737">INDEX(Optimization!$F$4:$AI$33, INT((ROW()-1)/COLUMNS(Optimization!$F$4:$AI$33))+1, MOD(ROW()-1, COLUMNS(Optimization!$F$4:$AI$33))+1)</f>
        <v>-1.3606459227659899</v>
      </c>
      <c r="C737" cm="1">
        <f t="array" ref="C737">INDEX(Optimization!$AT$4:$BW$33, INT((ROW()-1)/COLUMNS(Optimization!$AT$4:$BW$33))+1, MOD(ROW()-1, COLUMNS(Optimization!$AT$4:$BW$33))+1)</f>
        <v>0</v>
      </c>
    </row>
    <row r="738" spans="1:3" x14ac:dyDescent="0.25">
      <c r="A738">
        <v>738</v>
      </c>
      <c r="B738" cm="1">
        <f t="array" ref="B738">INDEX(Optimization!$F$4:$AI$33, INT((ROW()-1)/COLUMNS(Optimization!$F$4:$AI$33))+1, MOD(ROW()-1, COLUMNS(Optimization!$F$4:$AI$33))+1)</f>
        <v>-7.9491270940328596E-2</v>
      </c>
      <c r="C738" cm="1">
        <f t="array" ref="C738">INDEX(Optimization!$AT$4:$BW$33, INT((ROW()-1)/COLUMNS(Optimization!$AT$4:$BW$33))+1, MOD(ROW()-1, COLUMNS(Optimization!$AT$4:$BW$33))+1)</f>
        <v>0</v>
      </c>
    </row>
    <row r="739" spans="1:3" x14ac:dyDescent="0.25">
      <c r="A739">
        <v>739</v>
      </c>
      <c r="B739" cm="1">
        <f t="array" ref="B739">INDEX(Optimization!$F$4:$AI$33, INT((ROW()-1)/COLUMNS(Optimization!$F$4:$AI$33))+1, MOD(ROW()-1, COLUMNS(Optimization!$F$4:$AI$33))+1)</f>
        <v>-0.36664155285211603</v>
      </c>
      <c r="C739" cm="1">
        <f t="array" ref="C739">INDEX(Optimization!$AT$4:$BW$33, INT((ROW()-1)/COLUMNS(Optimization!$AT$4:$BW$33))+1, MOD(ROW()-1, COLUMNS(Optimization!$AT$4:$BW$33))+1)</f>
        <v>0</v>
      </c>
    </row>
    <row r="740" spans="1:3" x14ac:dyDescent="0.25">
      <c r="A740">
        <v>740</v>
      </c>
      <c r="B740" cm="1">
        <f t="array" ref="B740">INDEX(Optimization!$F$4:$AI$33, INT((ROW()-1)/COLUMNS(Optimization!$F$4:$AI$33))+1, MOD(ROW()-1, COLUMNS(Optimization!$F$4:$AI$33))+1)</f>
        <v>0.37828975634837098</v>
      </c>
      <c r="C740" cm="1">
        <f t="array" ref="C740">INDEX(Optimization!$AT$4:$BW$33, INT((ROW()-1)/COLUMNS(Optimization!$AT$4:$BW$33))+1, MOD(ROW()-1, COLUMNS(Optimization!$AT$4:$BW$33))+1)</f>
        <v>0</v>
      </c>
    </row>
    <row r="741" spans="1:3" x14ac:dyDescent="0.25">
      <c r="A741">
        <v>741</v>
      </c>
      <c r="B741" cm="1">
        <f t="array" ref="B741">INDEX(Optimization!$F$4:$AI$33, INT((ROW()-1)/COLUMNS(Optimization!$F$4:$AI$33))+1, MOD(ROW()-1, COLUMNS(Optimization!$F$4:$AI$33))+1)</f>
        <v>4.0593508965108702E-2</v>
      </c>
      <c r="C741" cm="1">
        <f t="array" ref="C741">INDEX(Optimization!$AT$4:$BW$33, INT((ROW()-1)/COLUMNS(Optimization!$AT$4:$BW$33))+1, MOD(ROW()-1, COLUMNS(Optimization!$AT$4:$BW$33))+1)</f>
        <v>0</v>
      </c>
    </row>
    <row r="742" spans="1:3" x14ac:dyDescent="0.25">
      <c r="A742">
        <v>742</v>
      </c>
      <c r="B742" cm="1">
        <f t="array" ref="B742">INDEX(Optimization!$F$4:$AI$33, INT((ROW()-1)/COLUMNS(Optimization!$F$4:$AI$33))+1, MOD(ROW()-1, COLUMNS(Optimization!$F$4:$AI$33))+1)</f>
        <v>0.75364653953870897</v>
      </c>
      <c r="C742" cm="1">
        <f t="array" ref="C742">INDEX(Optimization!$AT$4:$BW$33, INT((ROW()-1)/COLUMNS(Optimization!$AT$4:$BW$33))+1, MOD(ROW()-1, COLUMNS(Optimization!$AT$4:$BW$33))+1)</f>
        <v>0</v>
      </c>
    </row>
    <row r="743" spans="1:3" x14ac:dyDescent="0.25">
      <c r="A743">
        <v>743</v>
      </c>
      <c r="B743" cm="1">
        <f t="array" ref="B743">INDEX(Optimization!$F$4:$AI$33, INT((ROW()-1)/COLUMNS(Optimization!$F$4:$AI$33))+1, MOD(ROW()-1, COLUMNS(Optimization!$F$4:$AI$33))+1)</f>
        <v>1.1460338473629601</v>
      </c>
      <c r="C743" cm="1">
        <f t="array" ref="C743">INDEX(Optimization!$AT$4:$BW$33, INT((ROW()-1)/COLUMNS(Optimization!$AT$4:$BW$33))+1, MOD(ROW()-1, COLUMNS(Optimization!$AT$4:$BW$33))+1)</f>
        <v>0</v>
      </c>
    </row>
    <row r="744" spans="1:3" x14ac:dyDescent="0.25">
      <c r="A744">
        <v>744</v>
      </c>
      <c r="B744" cm="1">
        <f t="array" ref="B744">INDEX(Optimization!$F$4:$AI$33, INT((ROW()-1)/COLUMNS(Optimization!$F$4:$AI$33))+1, MOD(ROW()-1, COLUMNS(Optimization!$F$4:$AI$33))+1)</f>
        <v>8.6163573849880604E-2</v>
      </c>
      <c r="C744" cm="1">
        <f t="array" ref="C744">INDEX(Optimization!$AT$4:$BW$33, INT((ROW()-1)/COLUMNS(Optimization!$AT$4:$BW$33))+1, MOD(ROW()-1, COLUMNS(Optimization!$AT$4:$BW$33))+1)</f>
        <v>0</v>
      </c>
    </row>
    <row r="745" spans="1:3" x14ac:dyDescent="0.25">
      <c r="A745">
        <v>745</v>
      </c>
      <c r="B745" cm="1">
        <f t="array" ref="B745">INDEX(Optimization!$F$4:$AI$33, INT((ROW()-1)/COLUMNS(Optimization!$F$4:$AI$33))+1, MOD(ROW()-1, COLUMNS(Optimization!$F$4:$AI$33))+1)</f>
        <v>0</v>
      </c>
      <c r="C745" cm="1">
        <f t="array" ref="C745">INDEX(Optimization!$AT$4:$BW$33, INT((ROW()-1)/COLUMNS(Optimization!$AT$4:$BW$33))+1, MOD(ROW()-1, COLUMNS(Optimization!$AT$4:$BW$33))+1)</f>
        <v>0</v>
      </c>
    </row>
    <row r="746" spans="1:3" x14ac:dyDescent="0.25">
      <c r="A746">
        <v>746</v>
      </c>
      <c r="B746" cm="1">
        <f t="array" ref="B746">INDEX(Optimization!$F$4:$AI$33, INT((ROW()-1)/COLUMNS(Optimization!$F$4:$AI$33))+1, MOD(ROW()-1, COLUMNS(Optimization!$F$4:$AI$33))+1)</f>
        <v>1.16807200822889</v>
      </c>
      <c r="C746" cm="1">
        <f t="array" ref="C746">INDEX(Optimization!$AT$4:$BW$33, INT((ROW()-1)/COLUMNS(Optimization!$AT$4:$BW$33))+1, MOD(ROW()-1, COLUMNS(Optimization!$AT$4:$BW$33))+1)</f>
        <v>0</v>
      </c>
    </row>
    <row r="747" spans="1:3" x14ac:dyDescent="0.25">
      <c r="A747">
        <v>747</v>
      </c>
      <c r="B747" cm="1">
        <f t="array" ref="B747">INDEX(Optimization!$F$4:$AI$33, INT((ROW()-1)/COLUMNS(Optimization!$F$4:$AI$33))+1, MOD(ROW()-1, COLUMNS(Optimization!$F$4:$AI$33))+1)</f>
        <v>1.1993447047868001E-3</v>
      </c>
      <c r="C747" cm="1">
        <f t="array" ref="C747">INDEX(Optimization!$AT$4:$BW$33, INT((ROW()-1)/COLUMNS(Optimization!$AT$4:$BW$33))+1, MOD(ROW()-1, COLUMNS(Optimization!$AT$4:$BW$33))+1)</f>
        <v>0</v>
      </c>
    </row>
    <row r="748" spans="1:3" x14ac:dyDescent="0.25">
      <c r="A748">
        <v>748</v>
      </c>
      <c r="B748" cm="1">
        <f t="array" ref="B748">INDEX(Optimization!$F$4:$AI$33, INT((ROW()-1)/COLUMNS(Optimization!$F$4:$AI$33))+1, MOD(ROW()-1, COLUMNS(Optimization!$F$4:$AI$33))+1)</f>
        <v>-0.43408588193539699</v>
      </c>
      <c r="C748" cm="1">
        <f t="array" ref="C748">INDEX(Optimization!$AT$4:$BW$33, INT((ROW()-1)/COLUMNS(Optimization!$AT$4:$BW$33))+1, MOD(ROW()-1, COLUMNS(Optimization!$AT$4:$BW$33))+1)</f>
        <v>0</v>
      </c>
    </row>
    <row r="749" spans="1:3" x14ac:dyDescent="0.25">
      <c r="A749">
        <v>749</v>
      </c>
      <c r="B749" cm="1">
        <f t="array" ref="B749">INDEX(Optimization!$F$4:$AI$33, INT((ROW()-1)/COLUMNS(Optimization!$F$4:$AI$33))+1, MOD(ROW()-1, COLUMNS(Optimization!$F$4:$AI$33))+1)</f>
        <v>0.688618475947123</v>
      </c>
      <c r="C749" cm="1">
        <f t="array" ref="C749">INDEX(Optimization!$AT$4:$BW$33, INT((ROW()-1)/COLUMNS(Optimization!$AT$4:$BW$33))+1, MOD(ROW()-1, COLUMNS(Optimization!$AT$4:$BW$33))+1)</f>
        <v>0</v>
      </c>
    </row>
    <row r="750" spans="1:3" x14ac:dyDescent="0.25">
      <c r="A750">
        <v>750</v>
      </c>
      <c r="B750" cm="1">
        <f t="array" ref="B750">INDEX(Optimization!$F$4:$AI$33, INT((ROW()-1)/COLUMNS(Optimization!$F$4:$AI$33))+1, MOD(ROW()-1, COLUMNS(Optimization!$F$4:$AI$33))+1)</f>
        <v>-1.55758881563156</v>
      </c>
      <c r="C750" cm="1">
        <f t="array" ref="C750">INDEX(Optimization!$AT$4:$BW$33, INT((ROW()-1)/COLUMNS(Optimization!$AT$4:$BW$33))+1, MOD(ROW()-1, COLUMNS(Optimization!$AT$4:$BW$33))+1)</f>
        <v>0</v>
      </c>
    </row>
    <row r="751" spans="1:3" x14ac:dyDescent="0.25">
      <c r="A751">
        <v>751</v>
      </c>
      <c r="B751" cm="1">
        <f t="array" ref="B751">INDEX(Optimization!$F$4:$AI$33, INT((ROW()-1)/COLUMNS(Optimization!$F$4:$AI$33))+1, MOD(ROW()-1, COLUMNS(Optimization!$F$4:$AI$33))+1)</f>
        <v>-0.29849895313538799</v>
      </c>
      <c r="C751" cm="1">
        <f t="array" ref="C751">INDEX(Optimization!$AT$4:$BW$33, INT((ROW()-1)/COLUMNS(Optimization!$AT$4:$BW$33))+1, MOD(ROW()-1, COLUMNS(Optimization!$AT$4:$BW$33))+1)</f>
        <v>0</v>
      </c>
    </row>
    <row r="752" spans="1:3" x14ac:dyDescent="0.25">
      <c r="A752">
        <v>752</v>
      </c>
      <c r="B752" cm="1">
        <f t="array" ref="B752">INDEX(Optimization!$F$4:$AI$33, INT((ROW()-1)/COLUMNS(Optimization!$F$4:$AI$33))+1, MOD(ROW()-1, COLUMNS(Optimization!$F$4:$AI$33))+1)</f>
        <v>-1.18371381814941</v>
      </c>
      <c r="C752" cm="1">
        <f t="array" ref="C752">INDEX(Optimization!$AT$4:$BW$33, INT((ROW()-1)/COLUMNS(Optimization!$AT$4:$BW$33))+1, MOD(ROW()-1, COLUMNS(Optimization!$AT$4:$BW$33))+1)</f>
        <v>0</v>
      </c>
    </row>
    <row r="753" spans="1:3" x14ac:dyDescent="0.25">
      <c r="A753">
        <v>753</v>
      </c>
      <c r="B753" cm="1">
        <f t="array" ref="B753">INDEX(Optimization!$F$4:$AI$33, INT((ROW()-1)/COLUMNS(Optimization!$F$4:$AI$33))+1, MOD(ROW()-1, COLUMNS(Optimization!$F$4:$AI$33))+1)</f>
        <v>-0.48622794391304303</v>
      </c>
      <c r="C753" cm="1">
        <f t="array" ref="C753">INDEX(Optimization!$AT$4:$BW$33, INT((ROW()-1)/COLUMNS(Optimization!$AT$4:$BW$33))+1, MOD(ROW()-1, COLUMNS(Optimization!$AT$4:$BW$33))+1)</f>
        <v>0</v>
      </c>
    </row>
    <row r="754" spans="1:3" x14ac:dyDescent="0.25">
      <c r="A754">
        <v>754</v>
      </c>
      <c r="B754" cm="1">
        <f t="array" ref="B754">INDEX(Optimization!$F$4:$AI$33, INT((ROW()-1)/COLUMNS(Optimization!$F$4:$AI$33))+1, MOD(ROW()-1, COLUMNS(Optimization!$F$4:$AI$33))+1)</f>
        <v>-0.72632977329843995</v>
      </c>
      <c r="C754" cm="1">
        <f t="array" ref="C754">INDEX(Optimization!$AT$4:$BW$33, INT((ROW()-1)/COLUMNS(Optimization!$AT$4:$BW$33))+1, MOD(ROW()-1, COLUMNS(Optimization!$AT$4:$BW$33))+1)</f>
        <v>0</v>
      </c>
    </row>
    <row r="755" spans="1:3" x14ac:dyDescent="0.25">
      <c r="A755">
        <v>755</v>
      </c>
      <c r="B755" cm="1">
        <f t="array" ref="B755">INDEX(Optimization!$F$4:$AI$33, INT((ROW()-1)/COLUMNS(Optimization!$F$4:$AI$33))+1, MOD(ROW()-1, COLUMNS(Optimization!$F$4:$AI$33))+1)</f>
        <v>-0.34829074992099102</v>
      </c>
      <c r="C755" cm="1">
        <f t="array" ref="C755">INDEX(Optimization!$AT$4:$BW$33, INT((ROW()-1)/COLUMNS(Optimization!$AT$4:$BW$33))+1, MOD(ROW()-1, COLUMNS(Optimization!$AT$4:$BW$33))+1)</f>
        <v>0</v>
      </c>
    </row>
    <row r="756" spans="1:3" x14ac:dyDescent="0.25">
      <c r="A756">
        <v>756</v>
      </c>
      <c r="B756" cm="1">
        <f t="array" ref="B756">INDEX(Optimization!$F$4:$AI$33, INT((ROW()-1)/COLUMNS(Optimization!$F$4:$AI$33))+1, MOD(ROW()-1, COLUMNS(Optimization!$F$4:$AI$33))+1)</f>
        <v>0.245230511833954</v>
      </c>
      <c r="C756" cm="1">
        <f t="array" ref="C756">INDEX(Optimization!$AT$4:$BW$33, INT((ROW()-1)/COLUMNS(Optimization!$AT$4:$BW$33))+1, MOD(ROW()-1, COLUMNS(Optimization!$AT$4:$BW$33))+1)</f>
        <v>0</v>
      </c>
    </row>
    <row r="757" spans="1:3" x14ac:dyDescent="0.25">
      <c r="A757">
        <v>757</v>
      </c>
      <c r="B757" cm="1">
        <f t="array" ref="B757">INDEX(Optimization!$F$4:$AI$33, INT((ROW()-1)/COLUMNS(Optimization!$F$4:$AI$33))+1, MOD(ROW()-1, COLUMNS(Optimization!$F$4:$AI$33))+1)</f>
        <v>0.58644075965159204</v>
      </c>
      <c r="C757" cm="1">
        <f t="array" ref="C757">INDEX(Optimization!$AT$4:$BW$33, INT((ROW()-1)/COLUMNS(Optimization!$AT$4:$BW$33))+1, MOD(ROW()-1, COLUMNS(Optimization!$AT$4:$BW$33))+1)</f>
        <v>0</v>
      </c>
    </row>
    <row r="758" spans="1:3" x14ac:dyDescent="0.25">
      <c r="A758">
        <v>758</v>
      </c>
      <c r="B758" cm="1">
        <f t="array" ref="B758">INDEX(Optimization!$F$4:$AI$33, INT((ROW()-1)/COLUMNS(Optimization!$F$4:$AI$33))+1, MOD(ROW()-1, COLUMNS(Optimization!$F$4:$AI$33))+1)</f>
        <v>0.11004884188777</v>
      </c>
      <c r="C758" cm="1">
        <f t="array" ref="C758">INDEX(Optimization!$AT$4:$BW$33, INT((ROW()-1)/COLUMNS(Optimization!$AT$4:$BW$33))+1, MOD(ROW()-1, COLUMNS(Optimization!$AT$4:$BW$33))+1)</f>
        <v>0</v>
      </c>
    </row>
    <row r="759" spans="1:3" x14ac:dyDescent="0.25">
      <c r="A759">
        <v>759</v>
      </c>
      <c r="B759" cm="1">
        <f t="array" ref="B759">INDEX(Optimization!$F$4:$AI$33, INT((ROW()-1)/COLUMNS(Optimization!$F$4:$AI$33))+1, MOD(ROW()-1, COLUMNS(Optimization!$F$4:$AI$33))+1)</f>
        <v>5.9194642446617103E-2</v>
      </c>
      <c r="C759" cm="1">
        <f t="array" ref="C759">INDEX(Optimization!$AT$4:$BW$33, INT((ROW()-1)/COLUMNS(Optimization!$AT$4:$BW$33))+1, MOD(ROW()-1, COLUMNS(Optimization!$AT$4:$BW$33))+1)</f>
        <v>42</v>
      </c>
    </row>
    <row r="760" spans="1:3" x14ac:dyDescent="0.25">
      <c r="A760">
        <v>760</v>
      </c>
      <c r="B760" cm="1">
        <f t="array" ref="B760">INDEX(Optimization!$F$4:$AI$33, INT((ROW()-1)/COLUMNS(Optimization!$F$4:$AI$33))+1, MOD(ROW()-1, COLUMNS(Optimization!$F$4:$AI$33))+1)</f>
        <v>0.26489408084771299</v>
      </c>
      <c r="C760" cm="1">
        <f t="array" ref="C760">INDEX(Optimization!$AT$4:$BW$33, INT((ROW()-1)/COLUMNS(Optimization!$AT$4:$BW$33))+1, MOD(ROW()-1, COLUMNS(Optimization!$AT$4:$BW$33))+1)</f>
        <v>0</v>
      </c>
    </row>
    <row r="761" spans="1:3" x14ac:dyDescent="0.25">
      <c r="A761">
        <v>761</v>
      </c>
      <c r="B761" cm="1">
        <f t="array" ref="B761">INDEX(Optimization!$F$4:$AI$33, INT((ROW()-1)/COLUMNS(Optimization!$F$4:$AI$33))+1, MOD(ROW()-1, COLUMNS(Optimization!$F$4:$AI$33))+1)</f>
        <v>1.8760972464160099</v>
      </c>
      <c r="C761" cm="1">
        <f t="array" ref="C761">INDEX(Optimization!$AT$4:$BW$33, INT((ROW()-1)/COLUMNS(Optimization!$AT$4:$BW$33))+1, MOD(ROW()-1, COLUMNS(Optimization!$AT$4:$BW$33))+1)</f>
        <v>81</v>
      </c>
    </row>
    <row r="762" spans="1:3" x14ac:dyDescent="0.25">
      <c r="A762">
        <v>762</v>
      </c>
      <c r="B762" cm="1">
        <f t="array" ref="B762">INDEX(Optimization!$F$4:$AI$33, INT((ROW()-1)/COLUMNS(Optimization!$F$4:$AI$33))+1, MOD(ROW()-1, COLUMNS(Optimization!$F$4:$AI$33))+1)</f>
        <v>0.23526430316235999</v>
      </c>
      <c r="C762" cm="1">
        <f t="array" ref="C762">INDEX(Optimization!$AT$4:$BW$33, INT((ROW()-1)/COLUMNS(Optimization!$AT$4:$BW$33))+1, MOD(ROW()-1, COLUMNS(Optimization!$AT$4:$BW$33))+1)</f>
        <v>27</v>
      </c>
    </row>
    <row r="763" spans="1:3" x14ac:dyDescent="0.25">
      <c r="A763">
        <v>763</v>
      </c>
      <c r="B763" cm="1">
        <f t="array" ref="B763">INDEX(Optimization!$F$4:$AI$33, INT((ROW()-1)/COLUMNS(Optimization!$F$4:$AI$33))+1, MOD(ROW()-1, COLUMNS(Optimization!$F$4:$AI$33))+1)</f>
        <v>9.95400073805663E-2</v>
      </c>
      <c r="C763" cm="1">
        <f t="array" ref="C763">INDEX(Optimization!$AT$4:$BW$33, INT((ROW()-1)/COLUMNS(Optimization!$AT$4:$BW$33))+1, MOD(ROW()-1, COLUMNS(Optimization!$AT$4:$BW$33))+1)</f>
        <v>0</v>
      </c>
    </row>
    <row r="764" spans="1:3" x14ac:dyDescent="0.25">
      <c r="A764">
        <v>764</v>
      </c>
      <c r="B764" cm="1">
        <f t="array" ref="B764">INDEX(Optimization!$F$4:$AI$33, INT((ROW()-1)/COLUMNS(Optimization!$F$4:$AI$33))+1, MOD(ROW()-1, COLUMNS(Optimization!$F$4:$AI$33))+1)</f>
        <v>1.1156978336523899</v>
      </c>
      <c r="C764" cm="1">
        <f t="array" ref="C764">INDEX(Optimization!$AT$4:$BW$33, INT((ROW()-1)/COLUMNS(Optimization!$AT$4:$BW$33))+1, MOD(ROW()-1, COLUMNS(Optimization!$AT$4:$BW$33))+1)</f>
        <v>0</v>
      </c>
    </row>
    <row r="765" spans="1:3" x14ac:dyDescent="0.25">
      <c r="A765">
        <v>765</v>
      </c>
      <c r="B765" cm="1">
        <f t="array" ref="B765">INDEX(Optimization!$F$4:$AI$33, INT((ROW()-1)/COLUMNS(Optimization!$F$4:$AI$33))+1, MOD(ROW()-1, COLUMNS(Optimization!$F$4:$AI$33))+1)</f>
        <v>6.3319815001052299E-2</v>
      </c>
      <c r="C765" cm="1">
        <f t="array" ref="C765">INDEX(Optimization!$AT$4:$BW$33, INT((ROW()-1)/COLUMNS(Optimization!$AT$4:$BW$33))+1, MOD(ROW()-1, COLUMNS(Optimization!$AT$4:$BW$33))+1)</f>
        <v>87</v>
      </c>
    </row>
    <row r="766" spans="1:3" x14ac:dyDescent="0.25">
      <c r="A766">
        <v>766</v>
      </c>
      <c r="B766" cm="1">
        <f t="array" ref="B766">INDEX(Optimization!$F$4:$AI$33, INT((ROW()-1)/COLUMNS(Optimization!$F$4:$AI$33))+1, MOD(ROW()-1, COLUMNS(Optimization!$F$4:$AI$33))+1)</f>
        <v>-0.47587136230315502</v>
      </c>
      <c r="C766" cm="1">
        <f t="array" ref="C766">INDEX(Optimization!$AT$4:$BW$33, INT((ROW()-1)/COLUMNS(Optimization!$AT$4:$BW$33))+1, MOD(ROW()-1, COLUMNS(Optimization!$AT$4:$BW$33))+1)</f>
        <v>0</v>
      </c>
    </row>
    <row r="767" spans="1:3" x14ac:dyDescent="0.25">
      <c r="A767">
        <v>767</v>
      </c>
      <c r="B767" cm="1">
        <f t="array" ref="B767">INDEX(Optimization!$F$4:$AI$33, INT((ROW()-1)/COLUMNS(Optimization!$F$4:$AI$33))+1, MOD(ROW()-1, COLUMNS(Optimization!$F$4:$AI$33))+1)</f>
        <v>0.65894818259208698</v>
      </c>
      <c r="C767" cm="1">
        <f t="array" ref="C767">INDEX(Optimization!$AT$4:$BW$33, INT((ROW()-1)/COLUMNS(Optimization!$AT$4:$BW$33))+1, MOD(ROW()-1, COLUMNS(Optimization!$AT$4:$BW$33))+1)</f>
        <v>13</v>
      </c>
    </row>
    <row r="768" spans="1:3" x14ac:dyDescent="0.25">
      <c r="A768">
        <v>768</v>
      </c>
      <c r="B768" cm="1">
        <f t="array" ref="B768">INDEX(Optimization!$F$4:$AI$33, INT((ROW()-1)/COLUMNS(Optimization!$F$4:$AI$33))+1, MOD(ROW()-1, COLUMNS(Optimization!$F$4:$AI$33))+1)</f>
        <v>-0.25306672553624898</v>
      </c>
      <c r="C768" cm="1">
        <f t="array" ref="C768">INDEX(Optimization!$AT$4:$BW$33, INT((ROW()-1)/COLUMNS(Optimization!$AT$4:$BW$33))+1, MOD(ROW()-1, COLUMNS(Optimization!$AT$4:$BW$33))+1)</f>
        <v>0</v>
      </c>
    </row>
    <row r="769" spans="1:3" x14ac:dyDescent="0.25">
      <c r="A769">
        <v>769</v>
      </c>
      <c r="B769" cm="1">
        <f t="array" ref="B769">INDEX(Optimization!$F$4:$AI$33, INT((ROW()-1)/COLUMNS(Optimization!$F$4:$AI$33))+1, MOD(ROW()-1, COLUMNS(Optimization!$F$4:$AI$33))+1)</f>
        <v>0.14290744819338499</v>
      </c>
      <c r="C769" cm="1">
        <f t="array" ref="C769">INDEX(Optimization!$AT$4:$BW$33, INT((ROW()-1)/COLUMNS(Optimization!$AT$4:$BW$33))+1, MOD(ROW()-1, COLUMNS(Optimization!$AT$4:$BW$33))+1)</f>
        <v>0</v>
      </c>
    </row>
    <row r="770" spans="1:3" x14ac:dyDescent="0.25">
      <c r="A770">
        <v>770</v>
      </c>
      <c r="B770" cm="1">
        <f t="array" ref="B770">INDEX(Optimization!$F$4:$AI$33, INT((ROW()-1)/COLUMNS(Optimization!$F$4:$AI$33))+1, MOD(ROW()-1, COLUMNS(Optimization!$F$4:$AI$33))+1)</f>
        <v>0.61960257545445796</v>
      </c>
      <c r="C770" cm="1">
        <f t="array" ref="C770">INDEX(Optimization!$AT$4:$BW$33, INT((ROW()-1)/COLUMNS(Optimization!$AT$4:$BW$33))+1, MOD(ROW()-1, COLUMNS(Optimization!$AT$4:$BW$33))+1)</f>
        <v>0</v>
      </c>
    </row>
    <row r="771" spans="1:3" x14ac:dyDescent="0.25">
      <c r="A771">
        <v>771</v>
      </c>
      <c r="B771" cm="1">
        <f t="array" ref="B771">INDEX(Optimization!$F$4:$AI$33, INT((ROW()-1)/COLUMNS(Optimization!$F$4:$AI$33))+1, MOD(ROW()-1, COLUMNS(Optimization!$F$4:$AI$33))+1)</f>
        <v>0.57130574403911505</v>
      </c>
      <c r="C771" cm="1">
        <f t="array" ref="C771">INDEX(Optimization!$AT$4:$BW$33, INT((ROW()-1)/COLUMNS(Optimization!$AT$4:$BW$33))+1, MOD(ROW()-1, COLUMNS(Optimization!$AT$4:$BW$33))+1)</f>
        <v>0</v>
      </c>
    </row>
    <row r="772" spans="1:3" x14ac:dyDescent="0.25">
      <c r="A772">
        <v>772</v>
      </c>
      <c r="B772" cm="1">
        <f t="array" ref="B772">INDEX(Optimization!$F$4:$AI$33, INT((ROW()-1)/COLUMNS(Optimization!$F$4:$AI$33))+1, MOD(ROW()-1, COLUMNS(Optimization!$F$4:$AI$33))+1)</f>
        <v>-1.13372828993182</v>
      </c>
      <c r="C772" cm="1">
        <f t="array" ref="C772">INDEX(Optimization!$AT$4:$BW$33, INT((ROW()-1)/COLUMNS(Optimization!$AT$4:$BW$33))+1, MOD(ROW()-1, COLUMNS(Optimization!$AT$4:$BW$33))+1)</f>
        <v>0</v>
      </c>
    </row>
    <row r="773" spans="1:3" x14ac:dyDescent="0.25">
      <c r="A773">
        <v>773</v>
      </c>
      <c r="B773" cm="1">
        <f t="array" ref="B773">INDEX(Optimization!$F$4:$AI$33, INT((ROW()-1)/COLUMNS(Optimization!$F$4:$AI$33))+1, MOD(ROW()-1, COLUMNS(Optimization!$F$4:$AI$33))+1)</f>
        <v>-1.67022289683854</v>
      </c>
      <c r="C773" cm="1">
        <f t="array" ref="C773">INDEX(Optimization!$AT$4:$BW$33, INT((ROW()-1)/COLUMNS(Optimization!$AT$4:$BW$33))+1, MOD(ROW()-1, COLUMNS(Optimization!$AT$4:$BW$33))+1)</f>
        <v>0</v>
      </c>
    </row>
    <row r="774" spans="1:3" x14ac:dyDescent="0.25">
      <c r="A774">
        <v>774</v>
      </c>
      <c r="B774" cm="1">
        <f t="array" ref="B774">INDEX(Optimization!$F$4:$AI$33, INT((ROW()-1)/COLUMNS(Optimization!$F$4:$AI$33))+1, MOD(ROW()-1, COLUMNS(Optimization!$F$4:$AI$33))+1)</f>
        <v>-0.49617690473235798</v>
      </c>
      <c r="C774" cm="1">
        <f t="array" ref="C774">INDEX(Optimization!$AT$4:$BW$33, INT((ROW()-1)/COLUMNS(Optimization!$AT$4:$BW$33))+1, MOD(ROW()-1, COLUMNS(Optimization!$AT$4:$BW$33))+1)</f>
        <v>6</v>
      </c>
    </row>
    <row r="775" spans="1:3" x14ac:dyDescent="0.25">
      <c r="A775">
        <v>775</v>
      </c>
      <c r="B775" cm="1">
        <f t="array" ref="B775">INDEX(Optimization!$F$4:$AI$33, INT((ROW()-1)/COLUMNS(Optimization!$F$4:$AI$33))+1, MOD(ROW()-1, COLUMNS(Optimization!$F$4:$AI$33))+1)</f>
        <v>1.16807200822889</v>
      </c>
      <c r="C775" cm="1">
        <f t="array" ref="C775">INDEX(Optimization!$AT$4:$BW$33, INT((ROW()-1)/COLUMNS(Optimization!$AT$4:$BW$33))+1, MOD(ROW()-1, COLUMNS(Optimization!$AT$4:$BW$33))+1)</f>
        <v>0</v>
      </c>
    </row>
    <row r="776" spans="1:3" x14ac:dyDescent="0.25">
      <c r="A776">
        <v>776</v>
      </c>
      <c r="B776" cm="1">
        <f t="array" ref="B776">INDEX(Optimization!$F$4:$AI$33, INT((ROW()-1)/COLUMNS(Optimization!$F$4:$AI$33))+1, MOD(ROW()-1, COLUMNS(Optimization!$F$4:$AI$33))+1)</f>
        <v>0</v>
      </c>
      <c r="C776" cm="1">
        <f t="array" ref="C776">INDEX(Optimization!$AT$4:$BW$33, INT((ROW()-1)/COLUMNS(Optimization!$AT$4:$BW$33))+1, MOD(ROW()-1, COLUMNS(Optimization!$AT$4:$BW$33))+1)</f>
        <v>0</v>
      </c>
    </row>
    <row r="777" spans="1:3" x14ac:dyDescent="0.25">
      <c r="A777">
        <v>777</v>
      </c>
      <c r="B777" cm="1">
        <f t="array" ref="B777">INDEX(Optimization!$F$4:$AI$33, INT((ROW()-1)/COLUMNS(Optimization!$F$4:$AI$33))+1, MOD(ROW()-1, COLUMNS(Optimization!$F$4:$AI$33))+1)</f>
        <v>0.26847705483983098</v>
      </c>
      <c r="C777" cm="1">
        <f t="array" ref="C777">INDEX(Optimization!$AT$4:$BW$33, INT((ROW()-1)/COLUMNS(Optimization!$AT$4:$BW$33))+1, MOD(ROW()-1, COLUMNS(Optimization!$AT$4:$BW$33))+1)</f>
        <v>37</v>
      </c>
    </row>
    <row r="778" spans="1:3" x14ac:dyDescent="0.25">
      <c r="A778">
        <v>778</v>
      </c>
      <c r="B778" cm="1">
        <f t="array" ref="B778">INDEX(Optimization!$F$4:$AI$33, INT((ROW()-1)/COLUMNS(Optimization!$F$4:$AI$33))+1, MOD(ROW()-1, COLUMNS(Optimization!$F$4:$AI$33))+1)</f>
        <v>0.41508342513684898</v>
      </c>
      <c r="C778" cm="1">
        <f t="array" ref="C778">INDEX(Optimization!$AT$4:$BW$33, INT((ROW()-1)/COLUMNS(Optimization!$AT$4:$BW$33))+1, MOD(ROW()-1, COLUMNS(Optimization!$AT$4:$BW$33))+1)</f>
        <v>0</v>
      </c>
    </row>
    <row r="779" spans="1:3" x14ac:dyDescent="0.25">
      <c r="A779">
        <v>779</v>
      </c>
      <c r="B779" cm="1">
        <f t="array" ref="B779">INDEX(Optimization!$F$4:$AI$33, INT((ROW()-1)/COLUMNS(Optimization!$F$4:$AI$33))+1, MOD(ROW()-1, COLUMNS(Optimization!$F$4:$AI$33))+1)</f>
        <v>1.10360549287983</v>
      </c>
      <c r="C779" cm="1">
        <f t="array" ref="C779">INDEX(Optimization!$AT$4:$BW$33, INT((ROW()-1)/COLUMNS(Optimization!$AT$4:$BW$33))+1, MOD(ROW()-1, COLUMNS(Optimization!$AT$4:$BW$33))+1)</f>
        <v>63</v>
      </c>
    </row>
    <row r="780" spans="1:3" x14ac:dyDescent="0.25">
      <c r="A780">
        <v>780</v>
      </c>
      <c r="B780" cm="1">
        <f t="array" ref="B780">INDEX(Optimization!$F$4:$AI$33, INT((ROW()-1)/COLUMNS(Optimization!$F$4:$AI$33))+1, MOD(ROW()-1, COLUMNS(Optimization!$F$4:$AI$33))+1)</f>
        <v>0.88464220802668103</v>
      </c>
      <c r="C780" cm="1">
        <f t="array" ref="C780">INDEX(Optimization!$AT$4:$BW$33, INT((ROW()-1)/COLUMNS(Optimization!$AT$4:$BW$33))+1, MOD(ROW()-1, COLUMNS(Optimization!$AT$4:$BW$33))+1)</f>
        <v>89</v>
      </c>
    </row>
    <row r="781" spans="1:3" x14ac:dyDescent="0.25">
      <c r="A781">
        <v>781</v>
      </c>
      <c r="B781" cm="1">
        <f t="array" ref="B781">INDEX(Optimization!$F$4:$AI$33, INT((ROW()-1)/COLUMNS(Optimization!$F$4:$AI$33))+1, MOD(ROW()-1, COLUMNS(Optimization!$F$4:$AI$33))+1)</f>
        <v>-0.123061200463822</v>
      </c>
      <c r="C781" cm="1">
        <f t="array" ref="C781">INDEX(Optimization!$AT$4:$BW$33, INT((ROW()-1)/COLUMNS(Optimization!$AT$4:$BW$33))+1, MOD(ROW()-1, COLUMNS(Optimization!$AT$4:$BW$33))+1)</f>
        <v>0</v>
      </c>
    </row>
    <row r="782" spans="1:3" x14ac:dyDescent="0.25">
      <c r="A782">
        <v>782</v>
      </c>
      <c r="B782" cm="1">
        <f t="array" ref="B782">INDEX(Optimization!$F$4:$AI$33, INT((ROW()-1)/COLUMNS(Optimization!$F$4:$AI$33))+1, MOD(ROW()-1, COLUMNS(Optimization!$F$4:$AI$33))+1)</f>
        <v>1.3568087572805801E-2</v>
      </c>
      <c r="C782" cm="1">
        <f t="array" ref="C782">INDEX(Optimization!$AT$4:$BW$33, INT((ROW()-1)/COLUMNS(Optimization!$AT$4:$BW$33))+1, MOD(ROW()-1, COLUMNS(Optimization!$AT$4:$BW$33))+1)</f>
        <v>0</v>
      </c>
    </row>
    <row r="783" spans="1:3" x14ac:dyDescent="0.25">
      <c r="A783">
        <v>783</v>
      </c>
      <c r="B783" cm="1">
        <f t="array" ref="B783">INDEX(Optimization!$F$4:$AI$33, INT((ROW()-1)/COLUMNS(Optimization!$F$4:$AI$33))+1, MOD(ROW()-1, COLUMNS(Optimization!$F$4:$AI$33))+1)</f>
        <v>-0.608131166551236</v>
      </c>
      <c r="C783" cm="1">
        <f t="array" ref="C783">INDEX(Optimization!$AT$4:$BW$33, INT((ROW()-1)/COLUMNS(Optimization!$AT$4:$BW$33))+1, MOD(ROW()-1, COLUMNS(Optimization!$AT$4:$BW$33))+1)</f>
        <v>0</v>
      </c>
    </row>
    <row r="784" spans="1:3" x14ac:dyDescent="0.25">
      <c r="A784">
        <v>784</v>
      </c>
      <c r="B784" cm="1">
        <f t="array" ref="B784">INDEX(Optimization!$F$4:$AI$33, INT((ROW()-1)/COLUMNS(Optimization!$F$4:$AI$33))+1, MOD(ROW()-1, COLUMNS(Optimization!$F$4:$AI$33))+1)</f>
        <v>-1.62277063110755E-2</v>
      </c>
      <c r="C784" cm="1">
        <f t="array" ref="C784">INDEX(Optimization!$AT$4:$BW$33, INT((ROW()-1)/COLUMNS(Optimization!$AT$4:$BW$33))+1, MOD(ROW()-1, COLUMNS(Optimization!$AT$4:$BW$33))+1)</f>
        <v>0</v>
      </c>
    </row>
    <row r="785" spans="1:3" x14ac:dyDescent="0.25">
      <c r="A785">
        <v>785</v>
      </c>
      <c r="B785" cm="1">
        <f t="array" ref="B785">INDEX(Optimization!$F$4:$AI$33, INT((ROW()-1)/COLUMNS(Optimization!$F$4:$AI$33))+1, MOD(ROW()-1, COLUMNS(Optimization!$F$4:$AI$33))+1)</f>
        <v>-0.42590262099918602</v>
      </c>
      <c r="C785" cm="1">
        <f t="array" ref="C785">INDEX(Optimization!$AT$4:$BW$33, INT((ROW()-1)/COLUMNS(Optimization!$AT$4:$BW$33))+1, MOD(ROW()-1, COLUMNS(Optimization!$AT$4:$BW$33))+1)</f>
        <v>0</v>
      </c>
    </row>
    <row r="786" spans="1:3" x14ac:dyDescent="0.25">
      <c r="A786">
        <v>786</v>
      </c>
      <c r="B786" cm="1">
        <f t="array" ref="B786">INDEX(Optimization!$F$4:$AI$33, INT((ROW()-1)/COLUMNS(Optimization!$F$4:$AI$33))+1, MOD(ROW()-1, COLUMNS(Optimization!$F$4:$AI$33))+1)</f>
        <v>0.61511345235090997</v>
      </c>
      <c r="C786" cm="1">
        <f t="array" ref="C786">INDEX(Optimization!$AT$4:$BW$33, INT((ROW()-1)/COLUMNS(Optimization!$AT$4:$BW$33))+1, MOD(ROW()-1, COLUMNS(Optimization!$AT$4:$BW$33))+1)</f>
        <v>0</v>
      </c>
    </row>
    <row r="787" spans="1:3" x14ac:dyDescent="0.25">
      <c r="A787">
        <v>787</v>
      </c>
      <c r="B787" cm="1">
        <f t="array" ref="B787">INDEX(Optimization!$F$4:$AI$33, INT((ROW()-1)/COLUMNS(Optimization!$F$4:$AI$33))+1, MOD(ROW()-1, COLUMNS(Optimization!$F$4:$AI$33))+1)</f>
        <v>-0.40362536036631902</v>
      </c>
      <c r="C787" cm="1">
        <f t="array" ref="C787">INDEX(Optimization!$AT$4:$BW$33, INT((ROW()-1)/COLUMNS(Optimization!$AT$4:$BW$33))+1, MOD(ROW()-1, COLUMNS(Optimization!$AT$4:$BW$33))+1)</f>
        <v>0</v>
      </c>
    </row>
    <row r="788" spans="1:3" x14ac:dyDescent="0.25">
      <c r="A788">
        <v>788</v>
      </c>
      <c r="B788" cm="1">
        <f t="array" ref="B788">INDEX(Optimization!$F$4:$AI$33, INT((ROW()-1)/COLUMNS(Optimization!$F$4:$AI$33))+1, MOD(ROW()-1, COLUMNS(Optimization!$F$4:$AI$33))+1)</f>
        <v>0.92254772374947702</v>
      </c>
      <c r="C788" cm="1">
        <f t="array" ref="C788">INDEX(Optimization!$AT$4:$BW$33, INT((ROW()-1)/COLUMNS(Optimization!$AT$4:$BW$33))+1, MOD(ROW()-1, COLUMNS(Optimization!$AT$4:$BW$33))+1)</f>
        <v>0</v>
      </c>
    </row>
    <row r="789" spans="1:3" x14ac:dyDescent="0.25">
      <c r="A789">
        <v>789</v>
      </c>
      <c r="B789" cm="1">
        <f t="array" ref="B789">INDEX(Optimization!$F$4:$AI$33, INT((ROW()-1)/COLUMNS(Optimization!$F$4:$AI$33))+1, MOD(ROW()-1, COLUMNS(Optimization!$F$4:$AI$33))+1)</f>
        <v>-3.0154022455411902E-2</v>
      </c>
      <c r="C789" cm="1">
        <f t="array" ref="C789">INDEX(Optimization!$AT$4:$BW$33, INT((ROW()-1)/COLUMNS(Optimization!$AT$4:$BW$33))+1, MOD(ROW()-1, COLUMNS(Optimization!$AT$4:$BW$33))+1)</f>
        <v>94</v>
      </c>
    </row>
    <row r="790" spans="1:3" x14ac:dyDescent="0.25">
      <c r="A790">
        <v>790</v>
      </c>
      <c r="B790" cm="1">
        <f t="array" ref="B790">INDEX(Optimization!$F$4:$AI$33, INT((ROW()-1)/COLUMNS(Optimization!$F$4:$AI$33))+1, MOD(ROW()-1, COLUMNS(Optimization!$F$4:$AI$33))+1)</f>
        <v>0.63323587997992004</v>
      </c>
      <c r="C790" cm="1">
        <f t="array" ref="C790">INDEX(Optimization!$AT$4:$BW$33, INT((ROW()-1)/COLUMNS(Optimization!$AT$4:$BW$33))+1, MOD(ROW()-1, COLUMNS(Optimization!$AT$4:$BW$33))+1)</f>
        <v>0</v>
      </c>
    </row>
    <row r="791" spans="1:3" x14ac:dyDescent="0.25">
      <c r="A791">
        <v>791</v>
      </c>
      <c r="B791" cm="1">
        <f t="array" ref="B791">INDEX(Optimization!$F$4:$AI$33, INT((ROW()-1)/COLUMNS(Optimization!$F$4:$AI$33))+1, MOD(ROW()-1, COLUMNS(Optimization!$F$4:$AI$33))+1)</f>
        <v>1.6156371964724101</v>
      </c>
      <c r="C791" cm="1">
        <f t="array" ref="C791">INDEX(Optimization!$AT$4:$BW$33, INT((ROW()-1)/COLUMNS(Optimization!$AT$4:$BW$33))+1, MOD(ROW()-1, COLUMNS(Optimization!$AT$4:$BW$33))+1)</f>
        <v>183</v>
      </c>
    </row>
    <row r="792" spans="1:3" x14ac:dyDescent="0.25">
      <c r="A792">
        <v>792</v>
      </c>
      <c r="B792" cm="1">
        <f t="array" ref="B792">INDEX(Optimization!$F$4:$AI$33, INT((ROW()-1)/COLUMNS(Optimization!$F$4:$AI$33))+1, MOD(ROW()-1, COLUMNS(Optimization!$F$4:$AI$33))+1)</f>
        <v>4.7254095061737299E-2</v>
      </c>
      <c r="C792" cm="1">
        <f t="array" ref="C792">INDEX(Optimization!$AT$4:$BW$33, INT((ROW()-1)/COLUMNS(Optimization!$AT$4:$BW$33))+1, MOD(ROW()-1, COLUMNS(Optimization!$AT$4:$BW$33))+1)</f>
        <v>61</v>
      </c>
    </row>
    <row r="793" spans="1:3" x14ac:dyDescent="0.25">
      <c r="A793">
        <v>793</v>
      </c>
      <c r="B793" cm="1">
        <f t="array" ref="B793">INDEX(Optimization!$F$4:$AI$33, INT((ROW()-1)/COLUMNS(Optimization!$F$4:$AI$33))+1, MOD(ROW()-1, COLUMNS(Optimization!$F$4:$AI$33))+1)</f>
        <v>1.05683433101985</v>
      </c>
      <c r="C793" cm="1">
        <f t="array" ref="C793">INDEX(Optimization!$AT$4:$BW$33, INT((ROW()-1)/COLUMNS(Optimization!$AT$4:$BW$33))+1, MOD(ROW()-1, COLUMNS(Optimization!$AT$4:$BW$33))+1)</f>
        <v>0</v>
      </c>
    </row>
    <row r="794" spans="1:3" x14ac:dyDescent="0.25">
      <c r="A794">
        <v>794</v>
      </c>
      <c r="B794" cm="1">
        <f t="array" ref="B794">INDEX(Optimization!$F$4:$AI$33, INT((ROW()-1)/COLUMNS(Optimization!$F$4:$AI$33))+1, MOD(ROW()-1, COLUMNS(Optimization!$F$4:$AI$33))+1)</f>
        <v>-0.75834673934236996</v>
      </c>
      <c r="C794" cm="1">
        <f t="array" ref="C794">INDEX(Optimization!$AT$4:$BW$33, INT((ROW()-1)/COLUMNS(Optimization!$AT$4:$BW$33))+1, MOD(ROW()-1, COLUMNS(Optimization!$AT$4:$BW$33))+1)</f>
        <v>0</v>
      </c>
    </row>
    <row r="795" spans="1:3" x14ac:dyDescent="0.25">
      <c r="A795">
        <v>795</v>
      </c>
      <c r="B795" cm="1">
        <f t="array" ref="B795">INDEX(Optimization!$F$4:$AI$33, INT((ROW()-1)/COLUMNS(Optimization!$F$4:$AI$33))+1, MOD(ROW()-1, COLUMNS(Optimization!$F$4:$AI$33))+1)</f>
        <v>1.28929935428528</v>
      </c>
      <c r="C795" cm="1">
        <f t="array" ref="C795">INDEX(Optimization!$AT$4:$BW$33, INT((ROW()-1)/COLUMNS(Optimization!$AT$4:$BW$33))+1, MOD(ROW()-1, COLUMNS(Optimization!$AT$4:$BW$33))+1)</f>
        <v>195</v>
      </c>
    </row>
    <row r="796" spans="1:3" x14ac:dyDescent="0.25">
      <c r="A796">
        <v>796</v>
      </c>
      <c r="B796" cm="1">
        <f t="array" ref="B796">INDEX(Optimization!$F$4:$AI$33, INT((ROW()-1)/COLUMNS(Optimization!$F$4:$AI$33))+1, MOD(ROW()-1, COLUMNS(Optimization!$F$4:$AI$33))+1)</f>
        <v>-0.85448844832460302</v>
      </c>
      <c r="C796" cm="1">
        <f t="array" ref="C796">INDEX(Optimization!$AT$4:$BW$33, INT((ROW()-1)/COLUMNS(Optimization!$AT$4:$BW$33))+1, MOD(ROW()-1, COLUMNS(Optimization!$AT$4:$BW$33))+1)</f>
        <v>0</v>
      </c>
    </row>
    <row r="797" spans="1:3" x14ac:dyDescent="0.25">
      <c r="A797">
        <v>797</v>
      </c>
      <c r="B797" cm="1">
        <f t="array" ref="B797">INDEX(Optimization!$F$4:$AI$33, INT((ROW()-1)/COLUMNS(Optimization!$F$4:$AI$33))+1, MOD(ROW()-1, COLUMNS(Optimization!$F$4:$AI$33))+1)</f>
        <v>-4.6238840510950098E-2</v>
      </c>
      <c r="C797" cm="1">
        <f t="array" ref="C797">INDEX(Optimization!$AT$4:$BW$33, INT((ROW()-1)/COLUMNS(Optimization!$AT$4:$BW$33))+1, MOD(ROW()-1, COLUMNS(Optimization!$AT$4:$BW$33))+1)</f>
        <v>30</v>
      </c>
    </row>
    <row r="798" spans="1:3" x14ac:dyDescent="0.25">
      <c r="A798">
        <v>798</v>
      </c>
      <c r="B798" cm="1">
        <f t="array" ref="B798">INDEX(Optimization!$F$4:$AI$33, INT((ROW()-1)/COLUMNS(Optimization!$F$4:$AI$33))+1, MOD(ROW()-1, COLUMNS(Optimization!$F$4:$AI$33))+1)</f>
        <v>-0.23110818400820701</v>
      </c>
      <c r="C798" cm="1">
        <f t="array" ref="C798">INDEX(Optimization!$AT$4:$BW$33, INT((ROW()-1)/COLUMNS(Optimization!$AT$4:$BW$33))+1, MOD(ROW()-1, COLUMNS(Optimization!$AT$4:$BW$33))+1)</f>
        <v>0</v>
      </c>
    </row>
    <row r="799" spans="1:3" x14ac:dyDescent="0.25">
      <c r="A799">
        <v>799</v>
      </c>
      <c r="B799" cm="1">
        <f t="array" ref="B799">INDEX(Optimization!$F$4:$AI$33, INT((ROW()-1)/COLUMNS(Optimization!$F$4:$AI$33))+1, MOD(ROW()-1, COLUMNS(Optimization!$F$4:$AI$33))+1)</f>
        <v>-0.81257225324690097</v>
      </c>
      <c r="C799" cm="1">
        <f t="array" ref="C799">INDEX(Optimization!$AT$4:$BW$33, INT((ROW()-1)/COLUMNS(Optimization!$AT$4:$BW$33))+1, MOD(ROW()-1, COLUMNS(Optimization!$AT$4:$BW$33))+1)</f>
        <v>0</v>
      </c>
    </row>
    <row r="800" spans="1:3" x14ac:dyDescent="0.25">
      <c r="A800">
        <v>800</v>
      </c>
      <c r="B800" cm="1">
        <f t="array" ref="B800">INDEX(Optimization!$F$4:$AI$33, INT((ROW()-1)/COLUMNS(Optimization!$F$4:$AI$33))+1, MOD(ROW()-1, COLUMNS(Optimization!$F$4:$AI$33))+1)</f>
        <v>-0.92492516117919998</v>
      </c>
      <c r="C800" cm="1">
        <f t="array" ref="C800">INDEX(Optimization!$AT$4:$BW$33, INT((ROW()-1)/COLUMNS(Optimization!$AT$4:$BW$33))+1, MOD(ROW()-1, COLUMNS(Optimization!$AT$4:$BW$33))+1)</f>
        <v>0</v>
      </c>
    </row>
    <row r="801" spans="1:3" x14ac:dyDescent="0.25">
      <c r="A801">
        <v>801</v>
      </c>
      <c r="B801" cm="1">
        <f t="array" ref="B801">INDEX(Optimization!$F$4:$AI$33, INT((ROW()-1)/COLUMNS(Optimization!$F$4:$AI$33))+1, MOD(ROW()-1, COLUMNS(Optimization!$F$4:$AI$33))+1)</f>
        <v>0.45706177642260598</v>
      </c>
      <c r="C801" cm="1">
        <f t="array" ref="C801">INDEX(Optimization!$AT$4:$BW$33, INT((ROW()-1)/COLUMNS(Optimization!$AT$4:$BW$33))+1, MOD(ROW()-1, COLUMNS(Optimization!$AT$4:$BW$33))+1)</f>
        <v>0</v>
      </c>
    </row>
    <row r="802" spans="1:3" x14ac:dyDescent="0.25">
      <c r="A802">
        <v>802</v>
      </c>
      <c r="B802" cm="1">
        <f t="array" ref="B802">INDEX(Optimization!$F$4:$AI$33, INT((ROW()-1)/COLUMNS(Optimization!$F$4:$AI$33))+1, MOD(ROW()-1, COLUMNS(Optimization!$F$4:$AI$33))+1)</f>
        <v>-0.98231524750815502</v>
      </c>
      <c r="C802" cm="1">
        <f t="array" ref="C802">INDEX(Optimization!$AT$4:$BW$33, INT((ROW()-1)/COLUMNS(Optimization!$AT$4:$BW$33))+1, MOD(ROW()-1, COLUMNS(Optimization!$AT$4:$BW$33))+1)</f>
        <v>0</v>
      </c>
    </row>
    <row r="803" spans="1:3" x14ac:dyDescent="0.25">
      <c r="A803">
        <v>803</v>
      </c>
      <c r="B803" cm="1">
        <f t="array" ref="B803">INDEX(Optimization!$F$4:$AI$33, INT((ROW()-1)/COLUMNS(Optimization!$F$4:$AI$33))+1, MOD(ROW()-1, COLUMNS(Optimization!$F$4:$AI$33))+1)</f>
        <v>-0.94800575823734401</v>
      </c>
      <c r="C803" cm="1">
        <f t="array" ref="C803">INDEX(Optimization!$AT$4:$BW$33, INT((ROW()-1)/COLUMNS(Optimization!$AT$4:$BW$33))+1, MOD(ROW()-1, COLUMNS(Optimization!$AT$4:$BW$33))+1)</f>
        <v>0</v>
      </c>
    </row>
    <row r="804" spans="1:3" x14ac:dyDescent="0.25">
      <c r="A804">
        <v>804</v>
      </c>
      <c r="B804" cm="1">
        <f t="array" ref="B804">INDEX(Optimization!$F$4:$AI$33, INT((ROW()-1)/COLUMNS(Optimization!$F$4:$AI$33))+1, MOD(ROW()-1, COLUMNS(Optimization!$F$4:$AI$33))+1)</f>
        <v>0.79823306242803904</v>
      </c>
      <c r="C804" cm="1">
        <f t="array" ref="C804">INDEX(Optimization!$AT$4:$BW$33, INT((ROW()-1)/COLUMNS(Optimization!$AT$4:$BW$33))+1, MOD(ROW()-1, COLUMNS(Optimization!$AT$4:$BW$33))+1)</f>
        <v>13</v>
      </c>
    </row>
    <row r="805" spans="1:3" x14ac:dyDescent="0.25">
      <c r="A805">
        <v>805</v>
      </c>
      <c r="B805" cm="1">
        <f t="array" ref="B805">INDEX(Optimization!$F$4:$AI$33, INT((ROW()-1)/COLUMNS(Optimization!$F$4:$AI$33))+1, MOD(ROW()-1, COLUMNS(Optimization!$F$4:$AI$33))+1)</f>
        <v>1.1993447047868001E-3</v>
      </c>
      <c r="C805" cm="1">
        <f t="array" ref="C805">INDEX(Optimization!$AT$4:$BW$33, INT((ROW()-1)/COLUMNS(Optimization!$AT$4:$BW$33))+1, MOD(ROW()-1, COLUMNS(Optimization!$AT$4:$BW$33))+1)</f>
        <v>0</v>
      </c>
    </row>
    <row r="806" spans="1:3" x14ac:dyDescent="0.25">
      <c r="A806">
        <v>806</v>
      </c>
      <c r="B806" cm="1">
        <f t="array" ref="B806">INDEX(Optimization!$F$4:$AI$33, INT((ROW()-1)/COLUMNS(Optimization!$F$4:$AI$33))+1, MOD(ROW()-1, COLUMNS(Optimization!$F$4:$AI$33))+1)</f>
        <v>0.26847705483983098</v>
      </c>
      <c r="C806" cm="1">
        <f t="array" ref="C806">INDEX(Optimization!$AT$4:$BW$33, INT((ROW()-1)/COLUMNS(Optimization!$AT$4:$BW$33))+1, MOD(ROW()-1, COLUMNS(Optimization!$AT$4:$BW$33))+1)</f>
        <v>0</v>
      </c>
    </row>
    <row r="807" spans="1:3" x14ac:dyDescent="0.25">
      <c r="A807">
        <v>807</v>
      </c>
      <c r="B807" cm="1">
        <f t="array" ref="B807">INDEX(Optimization!$F$4:$AI$33, INT((ROW()-1)/COLUMNS(Optimization!$F$4:$AI$33))+1, MOD(ROW()-1, COLUMNS(Optimization!$F$4:$AI$33))+1)</f>
        <v>0</v>
      </c>
      <c r="C807" cm="1">
        <f t="array" ref="C807">INDEX(Optimization!$AT$4:$BW$33, INT((ROW()-1)/COLUMNS(Optimization!$AT$4:$BW$33))+1, MOD(ROW()-1, COLUMNS(Optimization!$AT$4:$BW$33))+1)</f>
        <v>83</v>
      </c>
    </row>
    <row r="808" spans="1:3" x14ac:dyDescent="0.25">
      <c r="A808">
        <v>808</v>
      </c>
      <c r="B808" cm="1">
        <f t="array" ref="B808">INDEX(Optimization!$F$4:$AI$33, INT((ROW()-1)/COLUMNS(Optimization!$F$4:$AI$33))+1, MOD(ROW()-1, COLUMNS(Optimization!$F$4:$AI$33))+1)</f>
        <v>-0.85327205151082297</v>
      </c>
      <c r="C808" cm="1">
        <f t="array" ref="C808">INDEX(Optimization!$AT$4:$BW$33, INT((ROW()-1)/COLUMNS(Optimization!$AT$4:$BW$33))+1, MOD(ROW()-1, COLUMNS(Optimization!$AT$4:$BW$33))+1)</f>
        <v>0</v>
      </c>
    </row>
    <row r="809" spans="1:3" x14ac:dyDescent="0.25">
      <c r="A809">
        <v>809</v>
      </c>
      <c r="B809" cm="1">
        <f t="array" ref="B809">INDEX(Optimization!$F$4:$AI$33, INT((ROW()-1)/COLUMNS(Optimization!$F$4:$AI$33))+1, MOD(ROW()-1, COLUMNS(Optimization!$F$4:$AI$33))+1)</f>
        <v>1.12164780768816</v>
      </c>
      <c r="C809" cm="1">
        <f t="array" ref="C809">INDEX(Optimization!$AT$4:$BW$33, INT((ROW()-1)/COLUMNS(Optimization!$AT$4:$BW$33))+1, MOD(ROW()-1, COLUMNS(Optimization!$AT$4:$BW$33))+1)</f>
        <v>141</v>
      </c>
    </row>
    <row r="810" spans="1:3" x14ac:dyDescent="0.25">
      <c r="A810">
        <v>810</v>
      </c>
      <c r="B810" cm="1">
        <f t="array" ref="B810">INDEX(Optimization!$F$4:$AI$33, INT((ROW()-1)/COLUMNS(Optimization!$F$4:$AI$33))+1, MOD(ROW()-1, COLUMNS(Optimization!$F$4:$AI$33))+1)</f>
        <v>1.4316826477176701</v>
      </c>
      <c r="C810" cm="1">
        <f t="array" ref="C810">INDEX(Optimization!$AT$4:$BW$33, INT((ROW()-1)/COLUMNS(Optimization!$AT$4:$BW$33))+1, MOD(ROW()-1, COLUMNS(Optimization!$AT$4:$BW$33))+1)</f>
        <v>200</v>
      </c>
    </row>
    <row r="811" spans="1:3" x14ac:dyDescent="0.25">
      <c r="A811">
        <v>811</v>
      </c>
      <c r="B811" cm="1">
        <f t="array" ref="B811">INDEX(Optimization!$F$4:$AI$33, INT((ROW()-1)/COLUMNS(Optimization!$F$4:$AI$33))+1, MOD(ROW()-1, COLUMNS(Optimization!$F$4:$AI$33))+1)</f>
        <v>-0.10603838279668901</v>
      </c>
      <c r="C811" cm="1">
        <f t="array" ref="C811">INDEX(Optimization!$AT$4:$BW$33, INT((ROW()-1)/COLUMNS(Optimization!$AT$4:$BW$33))+1, MOD(ROW()-1, COLUMNS(Optimization!$AT$4:$BW$33))+1)</f>
        <v>0</v>
      </c>
    </row>
    <row r="812" spans="1:3" x14ac:dyDescent="0.25">
      <c r="A812">
        <v>812</v>
      </c>
      <c r="B812" cm="1">
        <f t="array" ref="B812">INDEX(Optimization!$F$4:$AI$33, INT((ROW()-1)/COLUMNS(Optimization!$F$4:$AI$33))+1, MOD(ROW()-1, COLUMNS(Optimization!$F$4:$AI$33))+1)</f>
        <v>0.58846490525570305</v>
      </c>
      <c r="C812" cm="1">
        <f t="array" ref="C812">INDEX(Optimization!$AT$4:$BW$33, INT((ROW()-1)/COLUMNS(Optimization!$AT$4:$BW$33))+1, MOD(ROW()-1, COLUMNS(Optimization!$AT$4:$BW$33))+1)</f>
        <v>0</v>
      </c>
    </row>
    <row r="813" spans="1:3" x14ac:dyDescent="0.25">
      <c r="A813">
        <v>813</v>
      </c>
      <c r="B813" cm="1">
        <f t="array" ref="B813">INDEX(Optimization!$F$4:$AI$33, INT((ROW()-1)/COLUMNS(Optimization!$F$4:$AI$33))+1, MOD(ROW()-1, COLUMNS(Optimization!$F$4:$AI$33))+1)</f>
        <v>0.670401649141806</v>
      </c>
      <c r="C813" cm="1">
        <f t="array" ref="C813">INDEX(Optimization!$AT$4:$BW$33, INT((ROW()-1)/COLUMNS(Optimization!$AT$4:$BW$33))+1, MOD(ROW()-1, COLUMNS(Optimization!$AT$4:$BW$33))+1)</f>
        <v>0</v>
      </c>
    </row>
    <row r="814" spans="1:3" x14ac:dyDescent="0.25">
      <c r="A814">
        <v>814</v>
      </c>
      <c r="B814" cm="1">
        <f t="array" ref="B814">INDEX(Optimization!$F$4:$AI$33, INT((ROW()-1)/COLUMNS(Optimization!$F$4:$AI$33))+1, MOD(ROW()-1, COLUMNS(Optimization!$F$4:$AI$33))+1)</f>
        <v>-1.3956432240943599</v>
      </c>
      <c r="C814" cm="1">
        <f t="array" ref="C814">INDEX(Optimization!$AT$4:$BW$33, INT((ROW()-1)/COLUMNS(Optimization!$AT$4:$BW$33))+1, MOD(ROW()-1, COLUMNS(Optimization!$AT$4:$BW$33))+1)</f>
        <v>0</v>
      </c>
    </row>
    <row r="815" spans="1:3" x14ac:dyDescent="0.25">
      <c r="A815">
        <v>815</v>
      </c>
      <c r="B815" cm="1">
        <f t="array" ref="B815">INDEX(Optimization!$F$4:$AI$33, INT((ROW()-1)/COLUMNS(Optimization!$F$4:$AI$33))+1, MOD(ROW()-1, COLUMNS(Optimization!$F$4:$AI$33))+1)</f>
        <v>-0.277100054020467</v>
      </c>
      <c r="C815" cm="1">
        <f t="array" ref="C815">INDEX(Optimization!$AT$4:$BW$33, INT((ROW()-1)/COLUMNS(Optimization!$AT$4:$BW$33))+1, MOD(ROW()-1, COLUMNS(Optimization!$AT$4:$BW$33))+1)</f>
        <v>0</v>
      </c>
    </row>
    <row r="816" spans="1:3" x14ac:dyDescent="0.25">
      <c r="A816">
        <v>816</v>
      </c>
      <c r="B816" cm="1">
        <f t="array" ref="B816">INDEX(Optimization!$F$4:$AI$33, INT((ROW()-1)/COLUMNS(Optimization!$F$4:$AI$33))+1, MOD(ROW()-1, COLUMNS(Optimization!$F$4:$AI$33))+1)</f>
        <v>-0.478507096767608</v>
      </c>
      <c r="C816" cm="1">
        <f t="array" ref="C816">INDEX(Optimization!$AT$4:$BW$33, INT((ROW()-1)/COLUMNS(Optimization!$AT$4:$BW$33))+1, MOD(ROW()-1, COLUMNS(Optimization!$AT$4:$BW$33))+1)</f>
        <v>0</v>
      </c>
    </row>
    <row r="817" spans="1:3" x14ac:dyDescent="0.25">
      <c r="A817">
        <v>817</v>
      </c>
      <c r="B817" cm="1">
        <f t="array" ref="B817">INDEX(Optimization!$F$4:$AI$33, INT((ROW()-1)/COLUMNS(Optimization!$F$4:$AI$33))+1, MOD(ROW()-1, COLUMNS(Optimization!$F$4:$AI$33))+1)</f>
        <v>-1.13285495420847E-2</v>
      </c>
      <c r="C817" cm="1">
        <f t="array" ref="C817">INDEX(Optimization!$AT$4:$BW$33, INT((ROW()-1)/COLUMNS(Optimization!$AT$4:$BW$33))+1, MOD(ROW()-1, COLUMNS(Optimization!$AT$4:$BW$33))+1)</f>
        <v>0</v>
      </c>
    </row>
    <row r="818" spans="1:3" x14ac:dyDescent="0.25">
      <c r="A818">
        <v>818</v>
      </c>
      <c r="B818" cm="1">
        <f t="array" ref="B818">INDEX(Optimization!$F$4:$AI$33, INT((ROW()-1)/COLUMNS(Optimization!$F$4:$AI$33))+1, MOD(ROW()-1, COLUMNS(Optimization!$F$4:$AI$33))+1)</f>
        <v>0.36428358567848002</v>
      </c>
      <c r="C818" cm="1">
        <f t="array" ref="C818">INDEX(Optimization!$AT$4:$BW$33, INT((ROW()-1)/COLUMNS(Optimization!$AT$4:$BW$33))+1, MOD(ROW()-1, COLUMNS(Optimization!$AT$4:$BW$33))+1)</f>
        <v>0</v>
      </c>
    </row>
    <row r="819" spans="1:3" x14ac:dyDescent="0.25">
      <c r="A819">
        <v>819</v>
      </c>
      <c r="B819" cm="1">
        <f t="array" ref="B819">INDEX(Optimization!$F$4:$AI$33, INT((ROW()-1)/COLUMNS(Optimization!$F$4:$AI$33))+1, MOD(ROW()-1, COLUMNS(Optimization!$F$4:$AI$33))+1)</f>
        <v>0.31454206382537397</v>
      </c>
      <c r="C819" cm="1">
        <f t="array" ref="C819">INDEX(Optimization!$AT$4:$BW$33, INT((ROW()-1)/COLUMNS(Optimization!$AT$4:$BW$33))+1, MOD(ROW()-1, COLUMNS(Optimization!$AT$4:$BW$33))+1)</f>
        <v>0</v>
      </c>
    </row>
    <row r="820" spans="1:3" x14ac:dyDescent="0.25">
      <c r="A820">
        <v>820</v>
      </c>
      <c r="B820" cm="1">
        <f t="array" ref="B820">INDEX(Optimization!$F$4:$AI$33, INT((ROW()-1)/COLUMNS(Optimization!$F$4:$AI$33))+1, MOD(ROW()-1, COLUMNS(Optimization!$F$4:$AI$33))+1)</f>
        <v>0.80673693545215197</v>
      </c>
      <c r="C820" cm="1">
        <f t="array" ref="C820">INDEX(Optimization!$AT$4:$BW$33, INT((ROW()-1)/COLUMNS(Optimization!$AT$4:$BW$33))+1, MOD(ROW()-1, COLUMNS(Optimization!$AT$4:$BW$33))+1)</f>
        <v>0</v>
      </c>
    </row>
    <row r="821" spans="1:3" x14ac:dyDescent="0.25">
      <c r="A821">
        <v>821</v>
      </c>
      <c r="B821" cm="1">
        <f t="array" ref="B821">INDEX(Optimization!$F$4:$AI$33, INT((ROW()-1)/COLUMNS(Optimization!$F$4:$AI$33))+1, MOD(ROW()-1, COLUMNS(Optimization!$F$4:$AI$33))+1)</f>
        <v>0.316558278001284</v>
      </c>
      <c r="C821" cm="1">
        <f t="array" ref="C821">INDEX(Optimization!$AT$4:$BW$33, INT((ROW()-1)/COLUMNS(Optimization!$AT$4:$BW$33))+1, MOD(ROW()-1, COLUMNS(Optimization!$AT$4:$BW$33))+1)</f>
        <v>0</v>
      </c>
    </row>
    <row r="822" spans="1:3" x14ac:dyDescent="0.25">
      <c r="A822">
        <v>822</v>
      </c>
      <c r="B822" cm="1">
        <f t="array" ref="B822">INDEX(Optimization!$F$4:$AI$33, INT((ROW()-1)/COLUMNS(Optimization!$F$4:$AI$33))+1, MOD(ROW()-1, COLUMNS(Optimization!$F$4:$AI$33))+1)</f>
        <v>0.22304993612130999</v>
      </c>
      <c r="C822" cm="1">
        <f t="array" ref="C822">INDEX(Optimization!$AT$4:$BW$33, INT((ROW()-1)/COLUMNS(Optimization!$AT$4:$BW$33))+1, MOD(ROW()-1, COLUMNS(Optimization!$AT$4:$BW$33))+1)</f>
        <v>0</v>
      </c>
    </row>
    <row r="823" spans="1:3" x14ac:dyDescent="0.25">
      <c r="A823">
        <v>823</v>
      </c>
      <c r="B823" cm="1">
        <f t="array" ref="B823">INDEX(Optimization!$F$4:$AI$33, INT((ROW()-1)/COLUMNS(Optimization!$F$4:$AI$33))+1, MOD(ROW()-1, COLUMNS(Optimization!$F$4:$AI$33))+1)</f>
        <v>0.66863418435712596</v>
      </c>
      <c r="C823" cm="1">
        <f t="array" ref="C823">INDEX(Optimization!$AT$4:$BW$33, INT((ROW()-1)/COLUMNS(Optimization!$AT$4:$BW$33))+1, MOD(ROW()-1, COLUMNS(Optimization!$AT$4:$BW$33))+1)</f>
        <v>0</v>
      </c>
    </row>
    <row r="824" spans="1:3" x14ac:dyDescent="0.25">
      <c r="A824">
        <v>824</v>
      </c>
      <c r="B824" cm="1">
        <f t="array" ref="B824">INDEX(Optimization!$F$4:$AI$33, INT((ROW()-1)/COLUMNS(Optimization!$F$4:$AI$33))+1, MOD(ROW()-1, COLUMNS(Optimization!$F$4:$AI$33))+1)</f>
        <v>0.303110589543378</v>
      </c>
      <c r="C824" cm="1">
        <f t="array" ref="C824">INDEX(Optimization!$AT$4:$BW$33, INT((ROW()-1)/COLUMNS(Optimization!$AT$4:$BW$33))+1, MOD(ROW()-1, COLUMNS(Optimization!$AT$4:$BW$33))+1)</f>
        <v>0</v>
      </c>
    </row>
    <row r="825" spans="1:3" x14ac:dyDescent="0.25">
      <c r="A825">
        <v>825</v>
      </c>
      <c r="B825" cm="1">
        <f t="array" ref="B825">INDEX(Optimization!$F$4:$AI$33, INT((ROW()-1)/COLUMNS(Optimization!$F$4:$AI$33))+1, MOD(ROW()-1, COLUMNS(Optimization!$F$4:$AI$33))+1)</f>
        <v>-0.93663854109233902</v>
      </c>
      <c r="C825" cm="1">
        <f t="array" ref="C825">INDEX(Optimization!$AT$4:$BW$33, INT((ROW()-1)/COLUMNS(Optimization!$AT$4:$BW$33))+1, MOD(ROW()-1, COLUMNS(Optimization!$AT$4:$BW$33))+1)</f>
        <v>0</v>
      </c>
    </row>
    <row r="826" spans="1:3" x14ac:dyDescent="0.25">
      <c r="A826">
        <v>826</v>
      </c>
      <c r="B826" cm="1">
        <f t="array" ref="B826">INDEX(Optimization!$F$4:$AI$33, INT((ROW()-1)/COLUMNS(Optimization!$F$4:$AI$33))+1, MOD(ROW()-1, COLUMNS(Optimization!$F$4:$AI$33))+1)</f>
        <v>7.76555415951279E-2</v>
      </c>
      <c r="C826" cm="1">
        <f t="array" ref="C826">INDEX(Optimization!$AT$4:$BW$33, INT((ROW()-1)/COLUMNS(Optimization!$AT$4:$BW$33))+1, MOD(ROW()-1, COLUMNS(Optimization!$AT$4:$BW$33))+1)</f>
        <v>0</v>
      </c>
    </row>
    <row r="827" spans="1:3" x14ac:dyDescent="0.25">
      <c r="A827">
        <v>827</v>
      </c>
      <c r="B827" cm="1">
        <f t="array" ref="B827">INDEX(Optimization!$F$4:$AI$33, INT((ROW()-1)/COLUMNS(Optimization!$F$4:$AI$33))+1, MOD(ROW()-1, COLUMNS(Optimization!$F$4:$AI$33))+1)</f>
        <v>-1.17006505065017</v>
      </c>
      <c r="C827" cm="1">
        <f t="array" ref="C827">INDEX(Optimization!$AT$4:$BW$33, INT((ROW()-1)/COLUMNS(Optimization!$AT$4:$BW$33))+1, MOD(ROW()-1, COLUMNS(Optimization!$AT$4:$BW$33))+1)</f>
        <v>0</v>
      </c>
    </row>
    <row r="828" spans="1:3" x14ac:dyDescent="0.25">
      <c r="A828">
        <v>828</v>
      </c>
      <c r="B828" cm="1">
        <f t="array" ref="B828">INDEX(Optimization!$F$4:$AI$33, INT((ROW()-1)/COLUMNS(Optimization!$F$4:$AI$33))+1, MOD(ROW()-1, COLUMNS(Optimization!$F$4:$AI$33))+1)</f>
        <v>0.78536382340532795</v>
      </c>
      <c r="C828" cm="1">
        <f t="array" ref="C828">INDEX(Optimization!$AT$4:$BW$33, INT((ROW()-1)/COLUMNS(Optimization!$AT$4:$BW$33))+1, MOD(ROW()-1, COLUMNS(Optimization!$AT$4:$BW$33))+1)</f>
        <v>0</v>
      </c>
    </row>
    <row r="829" spans="1:3" x14ac:dyDescent="0.25">
      <c r="A829">
        <v>829</v>
      </c>
      <c r="B829" cm="1">
        <f t="array" ref="B829">INDEX(Optimization!$F$4:$AI$33, INT((ROW()-1)/COLUMNS(Optimization!$F$4:$AI$33))+1, MOD(ROW()-1, COLUMNS(Optimization!$F$4:$AI$33))+1)</f>
        <v>-1.49048333217549</v>
      </c>
      <c r="C829" cm="1">
        <f t="array" ref="C829">INDEX(Optimization!$AT$4:$BW$33, INT((ROW()-1)/COLUMNS(Optimization!$AT$4:$BW$33))+1, MOD(ROW()-1, COLUMNS(Optimization!$AT$4:$BW$33))+1)</f>
        <v>0</v>
      </c>
    </row>
    <row r="830" spans="1:3" x14ac:dyDescent="0.25">
      <c r="A830">
        <v>830</v>
      </c>
      <c r="B830" cm="1">
        <f t="array" ref="B830">INDEX(Optimization!$F$4:$AI$33, INT((ROW()-1)/COLUMNS(Optimization!$F$4:$AI$33))+1, MOD(ROW()-1, COLUMNS(Optimization!$F$4:$AI$33))+1)</f>
        <v>-0.38879342444725101</v>
      </c>
      <c r="C830" cm="1">
        <f t="array" ref="C830">INDEX(Optimization!$AT$4:$BW$33, INT((ROW()-1)/COLUMNS(Optimization!$AT$4:$BW$33))+1, MOD(ROW()-1, COLUMNS(Optimization!$AT$4:$BW$33))+1)</f>
        <v>0</v>
      </c>
    </row>
    <row r="831" spans="1:3" x14ac:dyDescent="0.25">
      <c r="A831">
        <v>831</v>
      </c>
      <c r="B831" cm="1">
        <f t="array" ref="B831">INDEX(Optimization!$F$4:$AI$33, INT((ROW()-1)/COLUMNS(Optimization!$F$4:$AI$33))+1, MOD(ROW()-1, COLUMNS(Optimization!$F$4:$AI$33))+1)</f>
        <v>6.6652411693714095E-2</v>
      </c>
      <c r="C831" cm="1">
        <f t="array" ref="C831">INDEX(Optimization!$AT$4:$BW$33, INT((ROW()-1)/COLUMNS(Optimization!$AT$4:$BW$33))+1, MOD(ROW()-1, COLUMNS(Optimization!$AT$4:$BW$33))+1)</f>
        <v>0</v>
      </c>
    </row>
    <row r="832" spans="1:3" x14ac:dyDescent="0.25">
      <c r="A832">
        <v>832</v>
      </c>
      <c r="B832" cm="1">
        <f t="array" ref="B832">INDEX(Optimization!$F$4:$AI$33, INT((ROW()-1)/COLUMNS(Optimization!$F$4:$AI$33))+1, MOD(ROW()-1, COLUMNS(Optimization!$F$4:$AI$33))+1)</f>
        <v>-2.70254795658053E-2</v>
      </c>
      <c r="C832" cm="1">
        <f t="array" ref="C832">INDEX(Optimization!$AT$4:$BW$33, INT((ROW()-1)/COLUMNS(Optimization!$AT$4:$BW$33))+1, MOD(ROW()-1, COLUMNS(Optimization!$AT$4:$BW$33))+1)</f>
        <v>0</v>
      </c>
    </row>
    <row r="833" spans="1:3" x14ac:dyDescent="0.25">
      <c r="A833">
        <v>833</v>
      </c>
      <c r="B833" cm="1">
        <f t="array" ref="B833">INDEX(Optimization!$F$4:$AI$33, INT((ROW()-1)/COLUMNS(Optimization!$F$4:$AI$33))+1, MOD(ROW()-1, COLUMNS(Optimization!$F$4:$AI$33))+1)</f>
        <v>1.33143069926559</v>
      </c>
      <c r="C833" cm="1">
        <f t="array" ref="C833">INDEX(Optimization!$AT$4:$BW$33, INT((ROW()-1)/COLUMNS(Optimization!$AT$4:$BW$33))+1, MOD(ROW()-1, COLUMNS(Optimization!$AT$4:$BW$33))+1)</f>
        <v>0</v>
      </c>
    </row>
    <row r="834" spans="1:3" x14ac:dyDescent="0.25">
      <c r="A834">
        <v>834</v>
      </c>
      <c r="B834" cm="1">
        <f t="array" ref="B834">INDEX(Optimization!$F$4:$AI$33, INT((ROW()-1)/COLUMNS(Optimization!$F$4:$AI$33))+1, MOD(ROW()-1, COLUMNS(Optimization!$F$4:$AI$33))+1)</f>
        <v>3.9216625781124899E-2</v>
      </c>
      <c r="C834" cm="1">
        <f t="array" ref="C834">INDEX(Optimization!$AT$4:$BW$33, INT((ROW()-1)/COLUMNS(Optimization!$AT$4:$BW$33))+1, MOD(ROW()-1, COLUMNS(Optimization!$AT$4:$BW$33))+1)</f>
        <v>0</v>
      </c>
    </row>
    <row r="835" spans="1:3" x14ac:dyDescent="0.25">
      <c r="A835">
        <v>835</v>
      </c>
      <c r="B835" cm="1">
        <f t="array" ref="B835">INDEX(Optimization!$F$4:$AI$33, INT((ROW()-1)/COLUMNS(Optimization!$F$4:$AI$33))+1, MOD(ROW()-1, COLUMNS(Optimization!$F$4:$AI$33))+1)</f>
        <v>-0.43408588193539699</v>
      </c>
      <c r="C835" cm="1">
        <f t="array" ref="C835">INDEX(Optimization!$AT$4:$BW$33, INT((ROW()-1)/COLUMNS(Optimization!$AT$4:$BW$33))+1, MOD(ROW()-1, COLUMNS(Optimization!$AT$4:$BW$33))+1)</f>
        <v>0</v>
      </c>
    </row>
    <row r="836" spans="1:3" x14ac:dyDescent="0.25">
      <c r="A836">
        <v>836</v>
      </c>
      <c r="B836" cm="1">
        <f t="array" ref="B836">INDEX(Optimization!$F$4:$AI$33, INT((ROW()-1)/COLUMNS(Optimization!$F$4:$AI$33))+1, MOD(ROW()-1, COLUMNS(Optimization!$F$4:$AI$33))+1)</f>
        <v>0.41508342513684898</v>
      </c>
      <c r="C836" cm="1">
        <f t="array" ref="C836">INDEX(Optimization!$AT$4:$BW$33, INT((ROW()-1)/COLUMNS(Optimization!$AT$4:$BW$33))+1, MOD(ROW()-1, COLUMNS(Optimization!$AT$4:$BW$33))+1)</f>
        <v>0</v>
      </c>
    </row>
    <row r="837" spans="1:3" x14ac:dyDescent="0.25">
      <c r="A837">
        <v>837</v>
      </c>
      <c r="B837" cm="1">
        <f t="array" ref="B837">INDEX(Optimization!$F$4:$AI$33, INT((ROW()-1)/COLUMNS(Optimization!$F$4:$AI$33))+1, MOD(ROW()-1, COLUMNS(Optimization!$F$4:$AI$33))+1)</f>
        <v>-0.85327205151082297</v>
      </c>
      <c r="C837" cm="1">
        <f t="array" ref="C837">INDEX(Optimization!$AT$4:$BW$33, INT((ROW()-1)/COLUMNS(Optimization!$AT$4:$BW$33))+1, MOD(ROW()-1, COLUMNS(Optimization!$AT$4:$BW$33))+1)</f>
        <v>0</v>
      </c>
    </row>
    <row r="838" spans="1:3" x14ac:dyDescent="0.25">
      <c r="A838">
        <v>838</v>
      </c>
      <c r="B838" cm="1">
        <f t="array" ref="B838">INDEX(Optimization!$F$4:$AI$33, INT((ROW()-1)/COLUMNS(Optimization!$F$4:$AI$33))+1, MOD(ROW()-1, COLUMNS(Optimization!$F$4:$AI$33))+1)</f>
        <v>0</v>
      </c>
      <c r="C838" cm="1">
        <f t="array" ref="C838">INDEX(Optimization!$AT$4:$BW$33, INT((ROW()-1)/COLUMNS(Optimization!$AT$4:$BW$33))+1, MOD(ROW()-1, COLUMNS(Optimization!$AT$4:$BW$33))+1)</f>
        <v>0</v>
      </c>
    </row>
    <row r="839" spans="1:3" x14ac:dyDescent="0.25">
      <c r="A839">
        <v>839</v>
      </c>
      <c r="B839" cm="1">
        <f t="array" ref="B839">INDEX(Optimization!$F$4:$AI$33, INT((ROW()-1)/COLUMNS(Optimization!$F$4:$AI$33))+1, MOD(ROW()-1, COLUMNS(Optimization!$F$4:$AI$33))+1)</f>
        <v>0.60549396512855103</v>
      </c>
      <c r="C839" cm="1">
        <f t="array" ref="C839">INDEX(Optimization!$AT$4:$BW$33, INT((ROW()-1)/COLUMNS(Optimization!$AT$4:$BW$33))+1, MOD(ROW()-1, COLUMNS(Optimization!$AT$4:$BW$33))+1)</f>
        <v>0</v>
      </c>
    </row>
    <row r="840" spans="1:3" x14ac:dyDescent="0.25">
      <c r="A840">
        <v>840</v>
      </c>
      <c r="B840" cm="1">
        <f t="array" ref="B840">INDEX(Optimization!$F$4:$AI$33, INT((ROW()-1)/COLUMNS(Optimization!$F$4:$AI$33))+1, MOD(ROW()-1, COLUMNS(Optimization!$F$4:$AI$33))+1)</f>
        <v>-2.7504131206376101E-2</v>
      </c>
      <c r="C840" cm="1">
        <f t="array" ref="C840">INDEX(Optimization!$AT$4:$BW$33, INT((ROW()-1)/COLUMNS(Optimization!$AT$4:$BW$33))+1, MOD(ROW()-1, COLUMNS(Optimization!$AT$4:$BW$33))+1)</f>
        <v>0</v>
      </c>
    </row>
    <row r="841" spans="1:3" x14ac:dyDescent="0.25">
      <c r="A841">
        <v>841</v>
      </c>
      <c r="B841" cm="1">
        <f t="array" ref="B841">INDEX(Optimization!$F$4:$AI$33, INT((ROW()-1)/COLUMNS(Optimization!$F$4:$AI$33))+1, MOD(ROW()-1, COLUMNS(Optimization!$F$4:$AI$33))+1)</f>
        <v>-1.3282765069042199</v>
      </c>
      <c r="C841" cm="1">
        <f t="array" ref="C841">INDEX(Optimization!$AT$4:$BW$33, INT((ROW()-1)/COLUMNS(Optimization!$AT$4:$BW$33))+1, MOD(ROW()-1, COLUMNS(Optimization!$AT$4:$BW$33))+1)</f>
        <v>0</v>
      </c>
    </row>
    <row r="842" spans="1:3" x14ac:dyDescent="0.25">
      <c r="A842">
        <v>842</v>
      </c>
      <c r="B842" cm="1">
        <f t="array" ref="B842">INDEX(Optimization!$F$4:$AI$33, INT((ROW()-1)/COLUMNS(Optimization!$F$4:$AI$33))+1, MOD(ROW()-1, COLUMNS(Optimization!$F$4:$AI$33))+1)</f>
        <v>-0.29981922229539698</v>
      </c>
      <c r="C842" cm="1">
        <f t="array" ref="C842">INDEX(Optimization!$AT$4:$BW$33, INT((ROW()-1)/COLUMNS(Optimization!$AT$4:$BW$33))+1, MOD(ROW()-1, COLUMNS(Optimization!$AT$4:$BW$33))+1)</f>
        <v>0</v>
      </c>
    </row>
    <row r="843" spans="1:3" x14ac:dyDescent="0.25">
      <c r="A843">
        <v>843</v>
      </c>
      <c r="B843" cm="1">
        <f t="array" ref="B843">INDEX(Optimization!$F$4:$AI$33, INT((ROW()-1)/COLUMNS(Optimization!$F$4:$AI$33))+1, MOD(ROW()-1, COLUMNS(Optimization!$F$4:$AI$33))+1)</f>
        <v>0.54959304235560902</v>
      </c>
      <c r="C843" cm="1">
        <f t="array" ref="C843">INDEX(Optimization!$AT$4:$BW$33, INT((ROW()-1)/COLUMNS(Optimization!$AT$4:$BW$33))+1, MOD(ROW()-1, COLUMNS(Optimization!$AT$4:$BW$33))+1)</f>
        <v>0</v>
      </c>
    </row>
    <row r="844" spans="1:3" x14ac:dyDescent="0.25">
      <c r="A844">
        <v>844</v>
      </c>
      <c r="B844" cm="1">
        <f t="array" ref="B844">INDEX(Optimization!$F$4:$AI$33, INT((ROW()-1)/COLUMNS(Optimization!$F$4:$AI$33))+1, MOD(ROW()-1, COLUMNS(Optimization!$F$4:$AI$33))+1)</f>
        <v>-0.50482191604376803</v>
      </c>
      <c r="C844" cm="1">
        <f t="array" ref="C844">INDEX(Optimization!$AT$4:$BW$33, INT((ROW()-1)/COLUMNS(Optimization!$AT$4:$BW$33))+1, MOD(ROW()-1, COLUMNS(Optimization!$AT$4:$BW$33))+1)</f>
        <v>0</v>
      </c>
    </row>
    <row r="845" spans="1:3" x14ac:dyDescent="0.25">
      <c r="A845">
        <v>845</v>
      </c>
      <c r="B845" cm="1">
        <f t="array" ref="B845">INDEX(Optimization!$F$4:$AI$33, INT((ROW()-1)/COLUMNS(Optimization!$F$4:$AI$33))+1, MOD(ROW()-1, COLUMNS(Optimization!$F$4:$AI$33))+1)</f>
        <v>1.1205094569346901</v>
      </c>
      <c r="C845" cm="1">
        <f t="array" ref="C845">INDEX(Optimization!$AT$4:$BW$33, INT((ROW()-1)/COLUMNS(Optimization!$AT$4:$BW$33))+1, MOD(ROW()-1, COLUMNS(Optimization!$AT$4:$BW$33))+1)</f>
        <v>0</v>
      </c>
    </row>
    <row r="846" spans="1:3" x14ac:dyDescent="0.25">
      <c r="A846">
        <v>846</v>
      </c>
      <c r="B846" cm="1">
        <f t="array" ref="B846">INDEX(Optimization!$F$4:$AI$33, INT((ROW()-1)/COLUMNS(Optimization!$F$4:$AI$33))+1, MOD(ROW()-1, COLUMNS(Optimization!$F$4:$AI$33))+1)</f>
        <v>-0.628130959299391</v>
      </c>
      <c r="C846" cm="1">
        <f t="array" ref="C846">INDEX(Optimization!$AT$4:$BW$33, INT((ROW()-1)/COLUMNS(Optimization!$AT$4:$BW$33))+1, MOD(ROW()-1, COLUMNS(Optimization!$AT$4:$BW$33))+1)</f>
        <v>0</v>
      </c>
    </row>
    <row r="847" spans="1:3" x14ac:dyDescent="0.25">
      <c r="A847">
        <v>847</v>
      </c>
      <c r="B847" cm="1">
        <f t="array" ref="B847">INDEX(Optimization!$F$4:$AI$33, INT((ROW()-1)/COLUMNS(Optimization!$F$4:$AI$33))+1, MOD(ROW()-1, COLUMNS(Optimization!$F$4:$AI$33))+1)</f>
        <v>1.5137950833399301</v>
      </c>
      <c r="C847" cm="1">
        <f t="array" ref="C847">INDEX(Optimization!$AT$4:$BW$33, INT((ROW()-1)/COLUMNS(Optimization!$AT$4:$BW$33))+1, MOD(ROW()-1, COLUMNS(Optimization!$AT$4:$BW$33))+1)</f>
        <v>0</v>
      </c>
    </row>
    <row r="848" spans="1:3" x14ac:dyDescent="0.25">
      <c r="A848">
        <v>848</v>
      </c>
      <c r="B848" cm="1">
        <f t="array" ref="B848">INDEX(Optimization!$F$4:$AI$33, INT((ROW()-1)/COLUMNS(Optimization!$F$4:$AI$33))+1, MOD(ROW()-1, COLUMNS(Optimization!$F$4:$AI$33))+1)</f>
        <v>-0.48944384316488299</v>
      </c>
      <c r="C848" cm="1">
        <f t="array" ref="C848">INDEX(Optimization!$AT$4:$BW$33, INT((ROW()-1)/COLUMNS(Optimization!$AT$4:$BW$33))+1, MOD(ROW()-1, COLUMNS(Optimization!$AT$4:$BW$33))+1)</f>
        <v>0</v>
      </c>
    </row>
    <row r="849" spans="1:3" x14ac:dyDescent="0.25">
      <c r="A849">
        <v>849</v>
      </c>
      <c r="B849" cm="1">
        <f t="array" ref="B849">INDEX(Optimization!$F$4:$AI$33, INT((ROW()-1)/COLUMNS(Optimization!$F$4:$AI$33))+1, MOD(ROW()-1, COLUMNS(Optimization!$F$4:$AI$33))+1)</f>
        <v>7.0213828229987604E-2</v>
      </c>
      <c r="C849" cm="1">
        <f t="array" ref="C849">INDEX(Optimization!$AT$4:$BW$33, INT((ROW()-1)/COLUMNS(Optimization!$AT$4:$BW$33))+1, MOD(ROW()-1, COLUMNS(Optimization!$AT$4:$BW$33))+1)</f>
        <v>0</v>
      </c>
    </row>
    <row r="850" spans="1:3" x14ac:dyDescent="0.25">
      <c r="A850">
        <v>850</v>
      </c>
      <c r="B850" cm="1">
        <f t="array" ref="B850">INDEX(Optimization!$F$4:$AI$33, INT((ROW()-1)/COLUMNS(Optimization!$F$4:$AI$33))+1, MOD(ROW()-1, COLUMNS(Optimization!$F$4:$AI$33))+1)</f>
        <v>1.0146829814095399</v>
      </c>
      <c r="C850" cm="1">
        <f t="array" ref="C850">INDEX(Optimization!$AT$4:$BW$33, INT((ROW()-1)/COLUMNS(Optimization!$AT$4:$BW$33))+1, MOD(ROW()-1, COLUMNS(Optimization!$AT$4:$BW$33))+1)</f>
        <v>0</v>
      </c>
    </row>
    <row r="851" spans="1:3" x14ac:dyDescent="0.25">
      <c r="A851">
        <v>851</v>
      </c>
      <c r="B851" cm="1">
        <f t="array" ref="B851">INDEX(Optimization!$F$4:$AI$33, INT((ROW()-1)/COLUMNS(Optimization!$F$4:$AI$33))+1, MOD(ROW()-1, COLUMNS(Optimization!$F$4:$AI$33))+1)</f>
        <v>0.87214633088606897</v>
      </c>
      <c r="C851" cm="1">
        <f t="array" ref="C851">INDEX(Optimization!$AT$4:$BW$33, INT((ROW()-1)/COLUMNS(Optimization!$AT$4:$BW$33))+1, MOD(ROW()-1, COLUMNS(Optimization!$AT$4:$BW$33))+1)</f>
        <v>0</v>
      </c>
    </row>
    <row r="852" spans="1:3" x14ac:dyDescent="0.25">
      <c r="A852">
        <v>852</v>
      </c>
      <c r="B852" cm="1">
        <f t="array" ref="B852">INDEX(Optimization!$F$4:$AI$33, INT((ROW()-1)/COLUMNS(Optimization!$F$4:$AI$33))+1, MOD(ROW()-1, COLUMNS(Optimization!$F$4:$AI$33))+1)</f>
        <v>-0.53573559091358103</v>
      </c>
      <c r="C852" cm="1">
        <f t="array" ref="C852">INDEX(Optimization!$AT$4:$BW$33, INT((ROW()-1)/COLUMNS(Optimization!$AT$4:$BW$33))+1, MOD(ROW()-1, COLUMNS(Optimization!$AT$4:$BW$33))+1)</f>
        <v>0</v>
      </c>
    </row>
    <row r="853" spans="1:3" x14ac:dyDescent="0.25">
      <c r="A853">
        <v>853</v>
      </c>
      <c r="B853" cm="1">
        <f t="array" ref="B853">INDEX(Optimization!$F$4:$AI$33, INT((ROW()-1)/COLUMNS(Optimization!$F$4:$AI$33))+1, MOD(ROW()-1, COLUMNS(Optimization!$F$4:$AI$33))+1)</f>
        <v>0.522253613866274</v>
      </c>
      <c r="C853" cm="1">
        <f t="array" ref="C853">INDEX(Optimization!$AT$4:$BW$33, INT((ROW()-1)/COLUMNS(Optimization!$AT$4:$BW$33))+1, MOD(ROW()-1, COLUMNS(Optimization!$AT$4:$BW$33))+1)</f>
        <v>0</v>
      </c>
    </row>
    <row r="854" spans="1:3" x14ac:dyDescent="0.25">
      <c r="A854">
        <v>854</v>
      </c>
      <c r="B854" cm="1">
        <f t="array" ref="B854">INDEX(Optimization!$F$4:$AI$33, INT((ROW()-1)/COLUMNS(Optimization!$F$4:$AI$33))+1, MOD(ROW()-1, COLUMNS(Optimization!$F$4:$AI$33))+1)</f>
        <v>-0.78797238578175399</v>
      </c>
      <c r="C854" cm="1">
        <f t="array" ref="C854">INDEX(Optimization!$AT$4:$BW$33, INT((ROW()-1)/COLUMNS(Optimization!$AT$4:$BW$33))+1, MOD(ROW()-1, COLUMNS(Optimization!$AT$4:$BW$33))+1)</f>
        <v>0</v>
      </c>
    </row>
    <row r="855" spans="1:3" x14ac:dyDescent="0.25">
      <c r="A855">
        <v>855</v>
      </c>
      <c r="B855" cm="1">
        <f t="array" ref="B855">INDEX(Optimization!$F$4:$AI$33, INT((ROW()-1)/COLUMNS(Optimization!$F$4:$AI$33))+1, MOD(ROW()-1, COLUMNS(Optimization!$F$4:$AI$33))+1)</f>
        <v>-1.2062315970900299</v>
      </c>
      <c r="C855" cm="1">
        <f t="array" ref="C855">INDEX(Optimization!$AT$4:$BW$33, INT((ROW()-1)/COLUMNS(Optimization!$AT$4:$BW$33))+1, MOD(ROW()-1, COLUMNS(Optimization!$AT$4:$BW$33))+1)</f>
        <v>0</v>
      </c>
    </row>
    <row r="856" spans="1:3" x14ac:dyDescent="0.25">
      <c r="A856">
        <v>856</v>
      </c>
      <c r="B856" cm="1">
        <f t="array" ref="B856">INDEX(Optimization!$F$4:$AI$33, INT((ROW()-1)/COLUMNS(Optimization!$F$4:$AI$33))+1, MOD(ROW()-1, COLUMNS(Optimization!$F$4:$AI$33))+1)</f>
        <v>0.46751238069171103</v>
      </c>
      <c r="C856" cm="1">
        <f t="array" ref="C856">INDEX(Optimization!$AT$4:$BW$33, INT((ROW()-1)/COLUMNS(Optimization!$AT$4:$BW$33))+1, MOD(ROW()-1, COLUMNS(Optimization!$AT$4:$BW$33))+1)</f>
        <v>0</v>
      </c>
    </row>
    <row r="857" spans="1:3" x14ac:dyDescent="0.25">
      <c r="A857">
        <v>857</v>
      </c>
      <c r="B857" cm="1">
        <f t="array" ref="B857">INDEX(Optimization!$F$4:$AI$33, INT((ROW()-1)/COLUMNS(Optimization!$F$4:$AI$33))+1, MOD(ROW()-1, COLUMNS(Optimization!$F$4:$AI$33))+1)</f>
        <v>-1.2230415972366799</v>
      </c>
      <c r="C857" cm="1">
        <f t="array" ref="C857">INDEX(Optimization!$AT$4:$BW$33, INT((ROW()-1)/COLUMNS(Optimization!$AT$4:$BW$33))+1, MOD(ROW()-1, COLUMNS(Optimization!$AT$4:$BW$33))+1)</f>
        <v>0</v>
      </c>
    </row>
    <row r="858" spans="1:3" x14ac:dyDescent="0.25">
      <c r="A858">
        <v>858</v>
      </c>
      <c r="B858" cm="1">
        <f t="array" ref="B858">INDEX(Optimization!$F$4:$AI$33, INT((ROW()-1)/COLUMNS(Optimization!$F$4:$AI$33))+1, MOD(ROW()-1, COLUMNS(Optimization!$F$4:$AI$33))+1)</f>
        <v>-1.5118462788848901</v>
      </c>
      <c r="C858" cm="1">
        <f t="array" ref="C858">INDEX(Optimization!$AT$4:$BW$33, INT((ROW()-1)/COLUMNS(Optimization!$AT$4:$BW$33))+1, MOD(ROW()-1, COLUMNS(Optimization!$AT$4:$BW$33))+1)</f>
        <v>0</v>
      </c>
    </row>
    <row r="859" spans="1:3" x14ac:dyDescent="0.25">
      <c r="A859">
        <v>859</v>
      </c>
      <c r="B859" cm="1">
        <f t="array" ref="B859">INDEX(Optimization!$F$4:$AI$33, INT((ROW()-1)/COLUMNS(Optimization!$F$4:$AI$33))+1, MOD(ROW()-1, COLUMNS(Optimization!$F$4:$AI$33))+1)</f>
        <v>-4.2460111167729103E-2</v>
      </c>
      <c r="C859" cm="1">
        <f t="array" ref="C859">INDEX(Optimization!$AT$4:$BW$33, INT((ROW()-1)/COLUMNS(Optimization!$AT$4:$BW$33))+1, MOD(ROW()-1, COLUMNS(Optimization!$AT$4:$BW$33))+1)</f>
        <v>0</v>
      </c>
    </row>
    <row r="860" spans="1:3" x14ac:dyDescent="0.25">
      <c r="A860">
        <v>860</v>
      </c>
      <c r="B860" cm="1">
        <f t="array" ref="B860">INDEX(Optimization!$F$4:$AI$33, INT((ROW()-1)/COLUMNS(Optimization!$F$4:$AI$33))+1, MOD(ROW()-1, COLUMNS(Optimization!$F$4:$AI$33))+1)</f>
        <v>0.97983129588014894</v>
      </c>
      <c r="C860" cm="1">
        <f t="array" ref="C860">INDEX(Optimization!$AT$4:$BW$33, INT((ROW()-1)/COLUMNS(Optimization!$AT$4:$BW$33))+1, MOD(ROW()-1, COLUMNS(Optimization!$AT$4:$BW$33))+1)</f>
        <v>0</v>
      </c>
    </row>
    <row r="861" spans="1:3" x14ac:dyDescent="0.25">
      <c r="A861">
        <v>861</v>
      </c>
      <c r="B861" cm="1">
        <f t="array" ref="B861">INDEX(Optimization!$F$4:$AI$33, INT((ROW()-1)/COLUMNS(Optimization!$F$4:$AI$33))+1, MOD(ROW()-1, COLUMNS(Optimization!$F$4:$AI$33))+1)</f>
        <v>0.86112584927744396</v>
      </c>
      <c r="C861" cm="1">
        <f t="array" ref="C861">INDEX(Optimization!$AT$4:$BW$33, INT((ROW()-1)/COLUMNS(Optimization!$AT$4:$BW$33))+1, MOD(ROW()-1, COLUMNS(Optimization!$AT$4:$BW$33))+1)</f>
        <v>0</v>
      </c>
    </row>
    <row r="862" spans="1:3" x14ac:dyDescent="0.25">
      <c r="A862">
        <v>862</v>
      </c>
      <c r="B862" cm="1">
        <f t="array" ref="B862">INDEX(Optimization!$F$4:$AI$33, INT((ROW()-1)/COLUMNS(Optimization!$F$4:$AI$33))+1, MOD(ROW()-1, COLUMNS(Optimization!$F$4:$AI$33))+1)</f>
        <v>-1.0571605774850099</v>
      </c>
      <c r="C862" cm="1">
        <f t="array" ref="C862">INDEX(Optimization!$AT$4:$BW$33, INT((ROW()-1)/COLUMNS(Optimization!$AT$4:$BW$33))+1, MOD(ROW()-1, COLUMNS(Optimization!$AT$4:$BW$33))+1)</f>
        <v>0</v>
      </c>
    </row>
    <row r="863" spans="1:3" x14ac:dyDescent="0.25">
      <c r="A863">
        <v>863</v>
      </c>
      <c r="B863" cm="1">
        <f t="array" ref="B863">INDEX(Optimization!$F$4:$AI$33, INT((ROW()-1)/COLUMNS(Optimization!$F$4:$AI$33))+1, MOD(ROW()-1, COLUMNS(Optimization!$F$4:$AI$33))+1)</f>
        <v>2.6363132847846402E-2</v>
      </c>
      <c r="C863" cm="1">
        <f t="array" ref="C863">INDEX(Optimization!$AT$4:$BW$33, INT((ROW()-1)/COLUMNS(Optimization!$AT$4:$BW$33))+1, MOD(ROW()-1, COLUMNS(Optimization!$AT$4:$BW$33))+1)</f>
        <v>0</v>
      </c>
    </row>
    <row r="864" spans="1:3" x14ac:dyDescent="0.25">
      <c r="A864">
        <v>864</v>
      </c>
      <c r="B864" cm="1">
        <f t="array" ref="B864">INDEX(Optimization!$F$4:$AI$33, INT((ROW()-1)/COLUMNS(Optimization!$F$4:$AI$33))+1, MOD(ROW()-1, COLUMNS(Optimization!$F$4:$AI$33))+1)</f>
        <v>0.567715437735543</v>
      </c>
      <c r="C864" cm="1">
        <f t="array" ref="C864">INDEX(Optimization!$AT$4:$BW$33, INT((ROW()-1)/COLUMNS(Optimization!$AT$4:$BW$33))+1, MOD(ROW()-1, COLUMNS(Optimization!$AT$4:$BW$33))+1)</f>
        <v>0</v>
      </c>
    </row>
    <row r="865" spans="1:3" x14ac:dyDescent="0.25">
      <c r="A865">
        <v>865</v>
      </c>
      <c r="B865" cm="1">
        <f t="array" ref="B865">INDEX(Optimization!$F$4:$AI$33, INT((ROW()-1)/COLUMNS(Optimization!$F$4:$AI$33))+1, MOD(ROW()-1, COLUMNS(Optimization!$F$4:$AI$33))+1)</f>
        <v>0.688618475947123</v>
      </c>
      <c r="C865" cm="1">
        <f t="array" ref="C865">INDEX(Optimization!$AT$4:$BW$33, INT((ROW()-1)/COLUMNS(Optimization!$AT$4:$BW$33))+1, MOD(ROW()-1, COLUMNS(Optimization!$AT$4:$BW$33))+1)</f>
        <v>0</v>
      </c>
    </row>
    <row r="866" spans="1:3" x14ac:dyDescent="0.25">
      <c r="A866">
        <v>866</v>
      </c>
      <c r="B866" cm="1">
        <f t="array" ref="B866">INDEX(Optimization!$F$4:$AI$33, INT((ROW()-1)/COLUMNS(Optimization!$F$4:$AI$33))+1, MOD(ROW()-1, COLUMNS(Optimization!$F$4:$AI$33))+1)</f>
        <v>1.10360549287983</v>
      </c>
      <c r="C866" cm="1">
        <f t="array" ref="C866">INDEX(Optimization!$AT$4:$BW$33, INT((ROW()-1)/COLUMNS(Optimization!$AT$4:$BW$33))+1, MOD(ROW()-1, COLUMNS(Optimization!$AT$4:$BW$33))+1)</f>
        <v>0</v>
      </c>
    </row>
    <row r="867" spans="1:3" x14ac:dyDescent="0.25">
      <c r="A867">
        <v>867</v>
      </c>
      <c r="B867" cm="1">
        <f t="array" ref="B867">INDEX(Optimization!$F$4:$AI$33, INT((ROW()-1)/COLUMNS(Optimization!$F$4:$AI$33))+1, MOD(ROW()-1, COLUMNS(Optimization!$F$4:$AI$33))+1)</f>
        <v>1.12164780768816</v>
      </c>
      <c r="C867" cm="1">
        <f t="array" ref="C867">INDEX(Optimization!$AT$4:$BW$33, INT((ROW()-1)/COLUMNS(Optimization!$AT$4:$BW$33))+1, MOD(ROW()-1, COLUMNS(Optimization!$AT$4:$BW$33))+1)</f>
        <v>0</v>
      </c>
    </row>
    <row r="868" spans="1:3" x14ac:dyDescent="0.25">
      <c r="A868">
        <v>868</v>
      </c>
      <c r="B868" cm="1">
        <f t="array" ref="B868">INDEX(Optimization!$F$4:$AI$33, INT((ROW()-1)/COLUMNS(Optimization!$F$4:$AI$33))+1, MOD(ROW()-1, COLUMNS(Optimization!$F$4:$AI$33))+1)</f>
        <v>0.60549396512855103</v>
      </c>
      <c r="C868" cm="1">
        <f t="array" ref="C868">INDEX(Optimization!$AT$4:$BW$33, INT((ROW()-1)/COLUMNS(Optimization!$AT$4:$BW$33))+1, MOD(ROW()-1, COLUMNS(Optimization!$AT$4:$BW$33))+1)</f>
        <v>0</v>
      </c>
    </row>
    <row r="869" spans="1:3" x14ac:dyDescent="0.25">
      <c r="A869">
        <v>869</v>
      </c>
      <c r="B869" cm="1">
        <f t="array" ref="B869">INDEX(Optimization!$F$4:$AI$33, INT((ROW()-1)/COLUMNS(Optimization!$F$4:$AI$33))+1, MOD(ROW()-1, COLUMNS(Optimization!$F$4:$AI$33))+1)</f>
        <v>0</v>
      </c>
      <c r="C869" cm="1">
        <f t="array" ref="C869">INDEX(Optimization!$AT$4:$BW$33, INT((ROW()-1)/COLUMNS(Optimization!$AT$4:$BW$33))+1, MOD(ROW()-1, COLUMNS(Optimization!$AT$4:$BW$33))+1)</f>
        <v>0</v>
      </c>
    </row>
    <row r="870" spans="1:3" x14ac:dyDescent="0.25">
      <c r="A870">
        <v>870</v>
      </c>
      <c r="B870" cm="1">
        <f t="array" ref="B870">INDEX(Optimization!$F$4:$AI$33, INT((ROW()-1)/COLUMNS(Optimization!$F$4:$AI$33))+1, MOD(ROW()-1, COLUMNS(Optimization!$F$4:$AI$33))+1)</f>
        <v>0.70610525425945703</v>
      </c>
      <c r="C870" cm="1">
        <f t="array" ref="C870">INDEX(Optimization!$AT$4:$BW$33, INT((ROW()-1)/COLUMNS(Optimization!$AT$4:$BW$33))+1, MOD(ROW()-1, COLUMNS(Optimization!$AT$4:$BW$33))+1)</f>
        <v>0</v>
      </c>
    </row>
    <row r="871" spans="1:3" x14ac:dyDescent="0.25">
      <c r="A871">
        <v>871</v>
      </c>
      <c r="B871" cm="1">
        <f t="array" ref="B871">INDEX(Optimization!$F$4:$AI$33, INT((ROW()-1)/COLUMNS(Optimization!$F$4:$AI$33))+1, MOD(ROW()-1, COLUMNS(Optimization!$F$4:$AI$33))+1)</f>
        <v>1.2318340230076601</v>
      </c>
      <c r="C871" cm="1">
        <f t="array" ref="C871">INDEX(Optimization!$AT$4:$BW$33, INT((ROW()-1)/COLUMNS(Optimization!$AT$4:$BW$33))+1, MOD(ROW()-1, COLUMNS(Optimization!$AT$4:$BW$33))+1)</f>
        <v>0</v>
      </c>
    </row>
    <row r="872" spans="1:3" x14ac:dyDescent="0.25">
      <c r="A872">
        <v>872</v>
      </c>
      <c r="B872" cm="1">
        <f t="array" ref="B872">INDEX(Optimization!$F$4:$AI$33, INT((ROW()-1)/COLUMNS(Optimization!$F$4:$AI$33))+1, MOD(ROW()-1, COLUMNS(Optimization!$F$4:$AI$33))+1)</f>
        <v>-1.4152707502880999</v>
      </c>
      <c r="C872" cm="1">
        <f t="array" ref="C872">INDEX(Optimization!$AT$4:$BW$33, INT((ROW()-1)/COLUMNS(Optimization!$AT$4:$BW$33))+1, MOD(ROW()-1, COLUMNS(Optimization!$AT$4:$BW$33))+1)</f>
        <v>0</v>
      </c>
    </row>
    <row r="873" spans="1:3" x14ac:dyDescent="0.25">
      <c r="A873">
        <v>873</v>
      </c>
      <c r="B873" cm="1">
        <f t="array" ref="B873">INDEX(Optimization!$F$4:$AI$33, INT((ROW()-1)/COLUMNS(Optimization!$F$4:$AI$33))+1, MOD(ROW()-1, COLUMNS(Optimization!$F$4:$AI$33))+1)</f>
        <v>0.59078558875562803</v>
      </c>
      <c r="C873" cm="1">
        <f t="array" ref="C873">INDEX(Optimization!$AT$4:$BW$33, INT((ROW()-1)/COLUMNS(Optimization!$AT$4:$BW$33))+1, MOD(ROW()-1, COLUMNS(Optimization!$AT$4:$BW$33))+1)</f>
        <v>0</v>
      </c>
    </row>
    <row r="874" spans="1:3" x14ac:dyDescent="0.25">
      <c r="A874">
        <v>874</v>
      </c>
      <c r="B874" cm="1">
        <f t="array" ref="B874">INDEX(Optimization!$F$4:$AI$33, INT((ROW()-1)/COLUMNS(Optimization!$F$4:$AI$33))+1, MOD(ROW()-1, COLUMNS(Optimization!$F$4:$AI$33))+1)</f>
        <v>-0.24240916301278401</v>
      </c>
      <c r="C874" cm="1">
        <f t="array" ref="C874">INDEX(Optimization!$AT$4:$BW$33, INT((ROW()-1)/COLUMNS(Optimization!$AT$4:$BW$33))+1, MOD(ROW()-1, COLUMNS(Optimization!$AT$4:$BW$33))+1)</f>
        <v>0</v>
      </c>
    </row>
    <row r="875" spans="1:3" x14ac:dyDescent="0.25">
      <c r="A875">
        <v>875</v>
      </c>
      <c r="B875" cm="1">
        <f t="array" ref="B875">INDEX(Optimization!$F$4:$AI$33, INT((ROW()-1)/COLUMNS(Optimization!$F$4:$AI$33))+1, MOD(ROW()-1, COLUMNS(Optimization!$F$4:$AI$33))+1)</f>
        <v>-0.33797024296862599</v>
      </c>
      <c r="C875" cm="1">
        <f t="array" ref="C875">INDEX(Optimization!$AT$4:$BW$33, INT((ROW()-1)/COLUMNS(Optimization!$AT$4:$BW$33))+1, MOD(ROW()-1, COLUMNS(Optimization!$AT$4:$BW$33))+1)</f>
        <v>0</v>
      </c>
    </row>
    <row r="876" spans="1:3" x14ac:dyDescent="0.25">
      <c r="A876">
        <v>876</v>
      </c>
      <c r="B876" cm="1">
        <f t="array" ref="B876">INDEX(Optimization!$F$4:$AI$33, INT((ROW()-1)/COLUMNS(Optimization!$F$4:$AI$33))+1, MOD(ROW()-1, COLUMNS(Optimization!$F$4:$AI$33))+1)</f>
        <v>-0.62868963814024803</v>
      </c>
      <c r="C876" cm="1">
        <f t="array" ref="C876">INDEX(Optimization!$AT$4:$BW$33, INT((ROW()-1)/COLUMNS(Optimization!$AT$4:$BW$33))+1, MOD(ROW()-1, COLUMNS(Optimization!$AT$4:$BW$33))+1)</f>
        <v>0</v>
      </c>
    </row>
    <row r="877" spans="1:3" x14ac:dyDescent="0.25">
      <c r="A877">
        <v>877</v>
      </c>
      <c r="B877" cm="1">
        <f t="array" ref="B877">INDEX(Optimization!$F$4:$AI$33, INT((ROW()-1)/COLUMNS(Optimization!$F$4:$AI$33))+1, MOD(ROW()-1, COLUMNS(Optimization!$F$4:$AI$33))+1)</f>
        <v>0.89337929643480096</v>
      </c>
      <c r="C877" cm="1">
        <f t="array" ref="C877">INDEX(Optimization!$AT$4:$BW$33, INT((ROW()-1)/COLUMNS(Optimization!$AT$4:$BW$33))+1, MOD(ROW()-1, COLUMNS(Optimization!$AT$4:$BW$33))+1)</f>
        <v>0</v>
      </c>
    </row>
    <row r="878" spans="1:3" x14ac:dyDescent="0.25">
      <c r="A878">
        <v>878</v>
      </c>
      <c r="B878" cm="1">
        <f t="array" ref="B878">INDEX(Optimization!$F$4:$AI$33, INT((ROW()-1)/COLUMNS(Optimization!$F$4:$AI$33))+1, MOD(ROW()-1, COLUMNS(Optimization!$F$4:$AI$33))+1)</f>
        <v>0.27096414221656001</v>
      </c>
      <c r="C878" cm="1">
        <f t="array" ref="C878">INDEX(Optimization!$AT$4:$BW$33, INT((ROW()-1)/COLUMNS(Optimization!$AT$4:$BW$33))+1, MOD(ROW()-1, COLUMNS(Optimization!$AT$4:$BW$33))+1)</f>
        <v>0</v>
      </c>
    </row>
    <row r="879" spans="1:3" x14ac:dyDescent="0.25">
      <c r="A879">
        <v>879</v>
      </c>
      <c r="B879" cm="1">
        <f t="array" ref="B879">INDEX(Optimization!$F$4:$AI$33, INT((ROW()-1)/COLUMNS(Optimization!$F$4:$AI$33))+1, MOD(ROW()-1, COLUMNS(Optimization!$F$4:$AI$33))+1)</f>
        <v>-8.4051916289703404E-2</v>
      </c>
      <c r="C879" cm="1">
        <f t="array" ref="C879">INDEX(Optimization!$AT$4:$BW$33, INT((ROW()-1)/COLUMNS(Optimization!$AT$4:$BW$33))+1, MOD(ROW()-1, COLUMNS(Optimization!$AT$4:$BW$33))+1)</f>
        <v>94</v>
      </c>
    </row>
    <row r="880" spans="1:3" x14ac:dyDescent="0.25">
      <c r="A880">
        <v>880</v>
      </c>
      <c r="B880" cm="1">
        <f t="array" ref="B880">INDEX(Optimization!$F$4:$AI$33, INT((ROW()-1)/COLUMNS(Optimization!$F$4:$AI$33))+1, MOD(ROW()-1, COLUMNS(Optimization!$F$4:$AI$33))+1)</f>
        <v>0.29503829965059303</v>
      </c>
      <c r="C880" cm="1">
        <f t="array" ref="C880">INDEX(Optimization!$AT$4:$BW$33, INT((ROW()-1)/COLUMNS(Optimization!$AT$4:$BW$33))+1, MOD(ROW()-1, COLUMNS(Optimization!$AT$4:$BW$33))+1)</f>
        <v>0</v>
      </c>
    </row>
    <row r="881" spans="1:3" x14ac:dyDescent="0.25">
      <c r="A881">
        <v>881</v>
      </c>
      <c r="B881" cm="1">
        <f t="array" ref="B881">INDEX(Optimization!$F$4:$AI$33, INT((ROW()-1)/COLUMNS(Optimization!$F$4:$AI$33))+1, MOD(ROW()-1, COLUMNS(Optimization!$F$4:$AI$33))+1)</f>
        <v>0.71645601441023699</v>
      </c>
      <c r="C881" cm="1">
        <f t="array" ref="C881">INDEX(Optimization!$AT$4:$BW$33, INT((ROW()-1)/COLUMNS(Optimization!$AT$4:$BW$33))+1, MOD(ROW()-1, COLUMNS(Optimization!$AT$4:$BW$33))+1)</f>
        <v>183</v>
      </c>
    </row>
    <row r="882" spans="1:3" x14ac:dyDescent="0.25">
      <c r="A882">
        <v>882</v>
      </c>
      <c r="B882" cm="1">
        <f t="array" ref="B882">INDEX(Optimization!$F$4:$AI$33, INT((ROW()-1)/COLUMNS(Optimization!$F$4:$AI$33))+1, MOD(ROW()-1, COLUMNS(Optimization!$F$4:$AI$33))+1)</f>
        <v>-0.61484171393075204</v>
      </c>
      <c r="C882" cm="1">
        <f t="array" ref="C882">INDEX(Optimization!$AT$4:$BW$33, INT((ROW()-1)/COLUMNS(Optimization!$AT$4:$BW$33))+1, MOD(ROW()-1, COLUMNS(Optimization!$AT$4:$BW$33))+1)</f>
        <v>61</v>
      </c>
    </row>
    <row r="883" spans="1:3" x14ac:dyDescent="0.25">
      <c r="A883">
        <v>883</v>
      </c>
      <c r="B883" cm="1">
        <f t="array" ref="B883">INDEX(Optimization!$F$4:$AI$33, INT((ROW()-1)/COLUMNS(Optimization!$F$4:$AI$33))+1, MOD(ROW()-1, COLUMNS(Optimization!$F$4:$AI$33))+1)</f>
        <v>-0.56192395395350403</v>
      </c>
      <c r="C883" cm="1">
        <f t="array" ref="C883">INDEX(Optimization!$AT$4:$BW$33, INT((ROW()-1)/COLUMNS(Optimization!$AT$4:$BW$33))+1, MOD(ROW()-1, COLUMNS(Optimization!$AT$4:$BW$33))+1)</f>
        <v>0</v>
      </c>
    </row>
    <row r="884" spans="1:3" x14ac:dyDescent="0.25">
      <c r="A884">
        <v>884</v>
      </c>
      <c r="B884" cm="1">
        <f t="array" ref="B884">INDEX(Optimization!$F$4:$AI$33, INT((ROW()-1)/COLUMNS(Optimization!$F$4:$AI$33))+1, MOD(ROW()-1, COLUMNS(Optimization!$F$4:$AI$33))+1)</f>
        <v>0.48684463209365397</v>
      </c>
      <c r="C884" cm="1">
        <f t="array" ref="C884">INDEX(Optimization!$AT$4:$BW$33, INT((ROW()-1)/COLUMNS(Optimization!$AT$4:$BW$33))+1, MOD(ROW()-1, COLUMNS(Optimization!$AT$4:$BW$33))+1)</f>
        <v>0</v>
      </c>
    </row>
    <row r="885" spans="1:3" x14ac:dyDescent="0.25">
      <c r="A885">
        <v>885</v>
      </c>
      <c r="B885" cm="1">
        <f t="array" ref="B885">INDEX(Optimization!$F$4:$AI$33, INT((ROW()-1)/COLUMNS(Optimization!$F$4:$AI$33))+1, MOD(ROW()-1, COLUMNS(Optimization!$F$4:$AI$33))+1)</f>
        <v>1.1212400782956</v>
      </c>
      <c r="C885" cm="1">
        <f t="array" ref="C885">INDEX(Optimization!$AT$4:$BW$33, INT((ROW()-1)/COLUMNS(Optimization!$AT$4:$BW$33))+1, MOD(ROW()-1, COLUMNS(Optimization!$AT$4:$BW$33))+1)</f>
        <v>195</v>
      </c>
    </row>
    <row r="886" spans="1:3" x14ac:dyDescent="0.25">
      <c r="A886">
        <v>886</v>
      </c>
      <c r="B886" cm="1">
        <f t="array" ref="B886">INDEX(Optimization!$F$4:$AI$33, INT((ROW()-1)/COLUMNS(Optimization!$F$4:$AI$33))+1, MOD(ROW()-1, COLUMNS(Optimization!$F$4:$AI$33))+1)</f>
        <v>0.88400994210606498</v>
      </c>
      <c r="C886" cm="1">
        <f t="array" ref="C886">INDEX(Optimization!$AT$4:$BW$33, INT((ROW()-1)/COLUMNS(Optimization!$AT$4:$BW$33))+1, MOD(ROW()-1, COLUMNS(Optimization!$AT$4:$BW$33))+1)</f>
        <v>0</v>
      </c>
    </row>
    <row r="887" spans="1:3" x14ac:dyDescent="0.25">
      <c r="A887">
        <v>887</v>
      </c>
      <c r="B887" cm="1">
        <f t="array" ref="B887">INDEX(Optimization!$F$4:$AI$33, INT((ROW()-1)/COLUMNS(Optimization!$F$4:$AI$33))+1, MOD(ROW()-1, COLUMNS(Optimization!$F$4:$AI$33))+1)</f>
        <v>-8.1744024113293998E-2</v>
      </c>
      <c r="C887" cm="1">
        <f t="array" ref="C887">INDEX(Optimization!$AT$4:$BW$33, INT((ROW()-1)/COLUMNS(Optimization!$AT$4:$BW$33))+1, MOD(ROW()-1, COLUMNS(Optimization!$AT$4:$BW$33))+1)</f>
        <v>30</v>
      </c>
    </row>
    <row r="888" spans="1:3" x14ac:dyDescent="0.25">
      <c r="A888">
        <v>888</v>
      </c>
      <c r="B888" cm="1">
        <f t="array" ref="B888">INDEX(Optimization!$F$4:$AI$33, INT((ROW()-1)/COLUMNS(Optimization!$F$4:$AI$33))+1, MOD(ROW()-1, COLUMNS(Optimization!$F$4:$AI$33))+1)</f>
        <v>-0.94170340829253596</v>
      </c>
      <c r="C888" cm="1">
        <f t="array" ref="C888">INDEX(Optimization!$AT$4:$BW$33, INT((ROW()-1)/COLUMNS(Optimization!$AT$4:$BW$33))+1, MOD(ROW()-1, COLUMNS(Optimization!$AT$4:$BW$33))+1)</f>
        <v>0</v>
      </c>
    </row>
    <row r="889" spans="1:3" x14ac:dyDescent="0.25">
      <c r="A889">
        <v>889</v>
      </c>
      <c r="B889" cm="1">
        <f t="array" ref="B889">INDEX(Optimization!$F$4:$AI$33, INT((ROW()-1)/COLUMNS(Optimization!$F$4:$AI$33))+1, MOD(ROW()-1, COLUMNS(Optimization!$F$4:$AI$33))+1)</f>
        <v>-1.65661371108706</v>
      </c>
      <c r="C889" cm="1">
        <f t="array" ref="C889">INDEX(Optimization!$AT$4:$BW$33, INT((ROW()-1)/COLUMNS(Optimization!$AT$4:$BW$33))+1, MOD(ROW()-1, COLUMNS(Optimization!$AT$4:$BW$33))+1)</f>
        <v>0</v>
      </c>
    </row>
    <row r="890" spans="1:3" x14ac:dyDescent="0.25">
      <c r="A890">
        <v>890</v>
      </c>
      <c r="B890" cm="1">
        <f t="array" ref="B890">INDEX(Optimization!$F$4:$AI$33, INT((ROW()-1)/COLUMNS(Optimization!$F$4:$AI$33))+1, MOD(ROW()-1, COLUMNS(Optimization!$F$4:$AI$33))+1)</f>
        <v>-0.65517921720258798</v>
      </c>
      <c r="C890" cm="1">
        <f t="array" ref="C890">INDEX(Optimization!$AT$4:$BW$33, INT((ROW()-1)/COLUMNS(Optimization!$AT$4:$BW$33))+1, MOD(ROW()-1, COLUMNS(Optimization!$AT$4:$BW$33))+1)</f>
        <v>0</v>
      </c>
    </row>
    <row r="891" spans="1:3" x14ac:dyDescent="0.25">
      <c r="A891">
        <v>891</v>
      </c>
      <c r="B891" cm="1">
        <f t="array" ref="B891">INDEX(Optimization!$F$4:$AI$33, INT((ROW()-1)/COLUMNS(Optimization!$F$4:$AI$33))+1, MOD(ROW()-1, COLUMNS(Optimization!$F$4:$AI$33))+1)</f>
        <v>0.79872485015633399</v>
      </c>
      <c r="C891" cm="1">
        <f t="array" ref="C891">INDEX(Optimization!$AT$4:$BW$33, INT((ROW()-1)/COLUMNS(Optimization!$AT$4:$BW$33))+1, MOD(ROW()-1, COLUMNS(Optimization!$AT$4:$BW$33))+1)</f>
        <v>0</v>
      </c>
    </row>
    <row r="892" spans="1:3" x14ac:dyDescent="0.25">
      <c r="A892">
        <v>892</v>
      </c>
      <c r="B892" cm="1">
        <f t="array" ref="B892">INDEX(Optimization!$F$4:$AI$33, INT((ROW()-1)/COLUMNS(Optimization!$F$4:$AI$33))+1, MOD(ROW()-1, COLUMNS(Optimization!$F$4:$AI$33))+1)</f>
        <v>-0.38829179953992798</v>
      </c>
      <c r="C892" cm="1">
        <f t="array" ref="C892">INDEX(Optimization!$AT$4:$BW$33, INT((ROW()-1)/COLUMNS(Optimization!$AT$4:$BW$33))+1, MOD(ROW()-1, COLUMNS(Optimization!$AT$4:$BW$33))+1)</f>
        <v>0</v>
      </c>
    </row>
    <row r="893" spans="1:3" x14ac:dyDescent="0.25">
      <c r="A893">
        <v>893</v>
      </c>
      <c r="B893" cm="1">
        <f t="array" ref="B893">INDEX(Optimization!$F$4:$AI$33, INT((ROW()-1)/COLUMNS(Optimization!$F$4:$AI$33))+1, MOD(ROW()-1, COLUMNS(Optimization!$F$4:$AI$33))+1)</f>
        <v>0.20062861118400899</v>
      </c>
      <c r="C893" cm="1">
        <f t="array" ref="C893">INDEX(Optimization!$AT$4:$BW$33, INT((ROW()-1)/COLUMNS(Optimization!$AT$4:$BW$33))+1, MOD(ROW()-1, COLUMNS(Optimization!$AT$4:$BW$33))+1)</f>
        <v>0</v>
      </c>
    </row>
    <row r="894" spans="1:3" x14ac:dyDescent="0.25">
      <c r="A894">
        <v>894</v>
      </c>
      <c r="B894" cm="1">
        <f t="array" ref="B894">INDEX(Optimization!$F$4:$AI$33, INT((ROW()-1)/COLUMNS(Optimization!$F$4:$AI$33))+1, MOD(ROW()-1, COLUMNS(Optimization!$F$4:$AI$33))+1)</f>
        <v>0.150457698554741</v>
      </c>
      <c r="C894" cm="1">
        <f t="array" ref="C894">INDEX(Optimization!$AT$4:$BW$33, INT((ROW()-1)/COLUMNS(Optimization!$AT$4:$BW$33))+1, MOD(ROW()-1, COLUMNS(Optimization!$AT$4:$BW$33))+1)</f>
        <v>13</v>
      </c>
    </row>
    <row r="895" spans="1:3" x14ac:dyDescent="0.25">
      <c r="A895">
        <v>895</v>
      </c>
      <c r="B895" cm="1">
        <f t="array" ref="B895">INDEX(Optimization!$F$4:$AI$33, INT((ROW()-1)/COLUMNS(Optimization!$F$4:$AI$33))+1, MOD(ROW()-1, COLUMNS(Optimization!$F$4:$AI$33))+1)</f>
        <v>-1.55758881563156</v>
      </c>
      <c r="C895" cm="1">
        <f t="array" ref="C895">INDEX(Optimization!$AT$4:$BW$33, INT((ROW()-1)/COLUMNS(Optimization!$AT$4:$BW$33))+1, MOD(ROW()-1, COLUMNS(Optimization!$AT$4:$BW$33))+1)</f>
        <v>0</v>
      </c>
    </row>
    <row r="896" spans="1:3" x14ac:dyDescent="0.25">
      <c r="A896">
        <v>896</v>
      </c>
      <c r="B896" cm="1">
        <f t="array" ref="B896">INDEX(Optimization!$F$4:$AI$33, INT((ROW()-1)/COLUMNS(Optimization!$F$4:$AI$33))+1, MOD(ROW()-1, COLUMNS(Optimization!$F$4:$AI$33))+1)</f>
        <v>0.88464220802668103</v>
      </c>
      <c r="C896" cm="1">
        <f t="array" ref="C896">INDEX(Optimization!$AT$4:$BW$33, INT((ROW()-1)/COLUMNS(Optimization!$AT$4:$BW$33))+1, MOD(ROW()-1, COLUMNS(Optimization!$AT$4:$BW$33))+1)</f>
        <v>0</v>
      </c>
    </row>
    <row r="897" spans="1:3" x14ac:dyDescent="0.25">
      <c r="A897">
        <v>897</v>
      </c>
      <c r="B897" cm="1">
        <f t="array" ref="B897">INDEX(Optimization!$F$4:$AI$33, INT((ROW()-1)/COLUMNS(Optimization!$F$4:$AI$33))+1, MOD(ROW()-1, COLUMNS(Optimization!$F$4:$AI$33))+1)</f>
        <v>1.4316826477176701</v>
      </c>
      <c r="C897" cm="1">
        <f t="array" ref="C897">INDEX(Optimization!$AT$4:$BW$33, INT((ROW()-1)/COLUMNS(Optimization!$AT$4:$BW$33))+1, MOD(ROW()-1, COLUMNS(Optimization!$AT$4:$BW$33))+1)</f>
        <v>83</v>
      </c>
    </row>
    <row r="898" spans="1:3" x14ac:dyDescent="0.25">
      <c r="A898">
        <v>898</v>
      </c>
      <c r="B898" cm="1">
        <f t="array" ref="B898">INDEX(Optimization!$F$4:$AI$33, INT((ROW()-1)/COLUMNS(Optimization!$F$4:$AI$33))+1, MOD(ROW()-1, COLUMNS(Optimization!$F$4:$AI$33))+1)</f>
        <v>-2.7504131206376101E-2</v>
      </c>
      <c r="C898" cm="1">
        <f t="array" ref="C898">INDEX(Optimization!$AT$4:$BW$33, INT((ROW()-1)/COLUMNS(Optimization!$AT$4:$BW$33))+1, MOD(ROW()-1, COLUMNS(Optimization!$AT$4:$BW$33))+1)</f>
        <v>0</v>
      </c>
    </row>
    <row r="899" spans="1:3" x14ac:dyDescent="0.25">
      <c r="A899">
        <v>899</v>
      </c>
      <c r="B899" cm="1">
        <f t="array" ref="B899">INDEX(Optimization!$F$4:$AI$33, INT((ROW()-1)/COLUMNS(Optimization!$F$4:$AI$33))+1, MOD(ROW()-1, COLUMNS(Optimization!$F$4:$AI$33))+1)</f>
        <v>0.70610525425945703</v>
      </c>
      <c r="C899" cm="1">
        <f t="array" ref="C899">INDEX(Optimization!$AT$4:$BW$33, INT((ROW()-1)/COLUMNS(Optimization!$AT$4:$BW$33))+1, MOD(ROW()-1, COLUMNS(Optimization!$AT$4:$BW$33))+1)</f>
        <v>141</v>
      </c>
    </row>
    <row r="900" spans="1:3" x14ac:dyDescent="0.25">
      <c r="A900">
        <v>900</v>
      </c>
      <c r="B900" cm="1">
        <f t="array" ref="B900">INDEX(Optimization!$F$4:$AI$33, INT((ROW()-1)/COLUMNS(Optimization!$F$4:$AI$33))+1, MOD(ROW()-1, COLUMNS(Optimization!$F$4:$AI$33))+1)</f>
        <v>0</v>
      </c>
      <c r="C900" cm="1">
        <f t="array" ref="C900">INDEX(Optimization!$AT$4:$BW$33, INT((ROW()-1)/COLUMNS(Optimization!$AT$4:$BW$33))+1, MOD(ROW()-1, COLUMNS(Optimization!$AT$4:$BW$33))+1)</f>
        <v>200</v>
      </c>
    </row>
    <row r="901" spans="1:3" x14ac:dyDescent="0.25">
      <c r="A901">
        <v>901</v>
      </c>
      <c r="B901" t="e" cm="1">
        <f t="array" ref="B901">INDEX(Optimization!$F$4:$AI$33, INT((ROW()-1)/COLUMNS(Optimization!$F$4:$AI$33))+1, MOD(ROW()-1, COLUMNS(Optimization!$F$4:$AI$33))+1)</f>
        <v>#REF!</v>
      </c>
      <c r="C901" t="e" cm="1">
        <f t="array" ref="C901">INDEX(Optimization!$AT$4:$BW$33, INT((ROW()-1)/COLUMNS(Optimization!$AT$4:$BW$33))+1, MOD(ROW()-1, COLUMNS(Optimization!$AT$4:$BW$33))+1)</f>
        <v>#REF!</v>
      </c>
    </row>
    <row r="902" spans="1:3" x14ac:dyDescent="0.25">
      <c r="A902">
        <v>902</v>
      </c>
      <c r="B902" t="e" cm="1">
        <f t="array" ref="B902">INDEX(Optimization!$F$4:$AI$33, INT((ROW()-1)/COLUMNS(Optimization!$F$4:$AI$33))+1, MOD(ROW()-1, COLUMNS(Optimization!$F$4:$AI$33))+1)</f>
        <v>#REF!</v>
      </c>
      <c r="C902" t="e" cm="1">
        <f t="array" ref="C902">INDEX(Optimization!$AT$4:$BW$33, INT((ROW()-1)/COLUMNS(Optimization!$AT$4:$BW$33))+1, MOD(ROW()-1, COLUMNS(Optimization!$AT$4:$BW$33))+1)</f>
        <v>#REF!</v>
      </c>
    </row>
    <row r="903" spans="1:3" x14ac:dyDescent="0.25">
      <c r="A903">
        <v>903</v>
      </c>
      <c r="B903" t="e" cm="1">
        <f t="array" ref="B903">INDEX(Optimization!$F$4:$AI$33, INT((ROW()-1)/COLUMNS(Optimization!$F$4:$AI$33))+1, MOD(ROW()-1, COLUMNS(Optimization!$F$4:$AI$33))+1)</f>
        <v>#REF!</v>
      </c>
      <c r="C903" t="e" cm="1">
        <f t="array" ref="C903">INDEX(Optimization!$AT$4:$BW$33, INT((ROW()-1)/COLUMNS(Optimization!$AT$4:$BW$33))+1, MOD(ROW()-1, COLUMNS(Optimization!$AT$4:$BW$33))+1)</f>
        <v>#REF!</v>
      </c>
    </row>
    <row r="904" spans="1:3" x14ac:dyDescent="0.25">
      <c r="A904">
        <v>904</v>
      </c>
      <c r="B904" t="e" cm="1">
        <f t="array" ref="B904">INDEX(Optimization!$F$4:$AI$33, INT((ROW()-1)/COLUMNS(Optimization!$F$4:$AI$33))+1, MOD(ROW()-1, COLUMNS(Optimization!$F$4:$AI$33))+1)</f>
        <v>#REF!</v>
      </c>
      <c r="C904" t="e" cm="1">
        <f t="array" ref="C904">INDEX(Optimization!$AT$4:$BW$33, INT((ROW()-1)/COLUMNS(Optimization!$AT$4:$BW$33))+1, MOD(ROW()-1, COLUMNS(Optimization!$AT$4:$BW$33))+1)</f>
        <v>#REF!</v>
      </c>
    </row>
    <row r="905" spans="1:3" x14ac:dyDescent="0.25">
      <c r="A905">
        <v>905</v>
      </c>
      <c r="B905" t="e" cm="1">
        <f t="array" ref="B905">INDEX(Optimization!$F$4:$AI$33, INT((ROW()-1)/COLUMNS(Optimization!$F$4:$AI$33))+1, MOD(ROW()-1, COLUMNS(Optimization!$F$4:$AI$33))+1)</f>
        <v>#REF!</v>
      </c>
      <c r="C905" t="e" cm="1">
        <f t="array" ref="C905">INDEX(Optimization!$AT$4:$BW$33, INT((ROW()-1)/COLUMNS(Optimization!$AT$4:$BW$33))+1, MOD(ROW()-1, COLUMNS(Optimization!$AT$4:$BW$33))+1)</f>
        <v>#REF!</v>
      </c>
    </row>
    <row r="906" spans="1:3" x14ac:dyDescent="0.25">
      <c r="A906">
        <v>906</v>
      </c>
      <c r="B906" t="e" cm="1">
        <f t="array" ref="B906">INDEX(Optimization!$F$4:$AI$33, INT((ROW()-1)/COLUMNS(Optimization!$F$4:$AI$33))+1, MOD(ROW()-1, COLUMNS(Optimization!$F$4:$AI$33))+1)</f>
        <v>#REF!</v>
      </c>
      <c r="C906" t="e" cm="1">
        <f t="array" ref="C906">INDEX(Optimization!$AT$4:$BW$33, INT((ROW()-1)/COLUMNS(Optimization!$AT$4:$BW$33))+1, MOD(ROW()-1, COLUMNS(Optimization!$AT$4:$BW$33))+1)</f>
        <v>#REF!</v>
      </c>
    </row>
    <row r="907" spans="1:3" x14ac:dyDescent="0.25">
      <c r="A907">
        <v>907</v>
      </c>
      <c r="B907" t="e" cm="1">
        <f t="array" ref="B907">INDEX(Optimization!$F$4:$AI$33, INT((ROW()-1)/COLUMNS(Optimization!$F$4:$AI$33))+1, MOD(ROW()-1, COLUMNS(Optimization!$F$4:$AI$33))+1)</f>
        <v>#REF!</v>
      </c>
      <c r="C907" t="e" cm="1">
        <f t="array" ref="C907">INDEX(Optimization!$AT$4:$BW$33, INT((ROW()-1)/COLUMNS(Optimization!$AT$4:$BW$33))+1, MOD(ROW()-1, COLUMNS(Optimization!$AT$4:$BW$33))+1)</f>
        <v>#REF!</v>
      </c>
    </row>
    <row r="908" spans="1:3" x14ac:dyDescent="0.25">
      <c r="A908">
        <v>908</v>
      </c>
      <c r="B908" t="e" cm="1">
        <f t="array" ref="B908">INDEX(Optimization!$F$4:$AI$33, INT((ROW()-1)/COLUMNS(Optimization!$F$4:$AI$33))+1, MOD(ROW()-1, COLUMNS(Optimization!$F$4:$AI$33))+1)</f>
        <v>#REF!</v>
      </c>
      <c r="C908" t="e" cm="1">
        <f t="array" ref="C908">INDEX(Optimization!$AT$4:$BW$33, INT((ROW()-1)/COLUMNS(Optimization!$AT$4:$BW$33))+1, MOD(ROW()-1, COLUMNS(Optimization!$AT$4:$BW$33))+1)</f>
        <v>#REF!</v>
      </c>
    </row>
    <row r="909" spans="1:3" x14ac:dyDescent="0.25">
      <c r="A909">
        <v>909</v>
      </c>
      <c r="B909" t="e" cm="1">
        <f t="array" ref="B909">INDEX(Optimization!$F$4:$AI$33, INT((ROW()-1)/COLUMNS(Optimization!$F$4:$AI$33))+1, MOD(ROW()-1, COLUMNS(Optimization!$F$4:$AI$33))+1)</f>
        <v>#REF!</v>
      </c>
      <c r="C909" t="e" cm="1">
        <f t="array" ref="C909">INDEX(Optimization!$AT$4:$BW$33, INT((ROW()-1)/COLUMNS(Optimization!$AT$4:$BW$33))+1, MOD(ROW()-1, COLUMNS(Optimization!$AT$4:$BW$33))+1)</f>
        <v>#REF!</v>
      </c>
    </row>
    <row r="910" spans="1:3" x14ac:dyDescent="0.25">
      <c r="A910">
        <v>910</v>
      </c>
      <c r="B910" t="e" cm="1">
        <f t="array" ref="B910">INDEX(Optimization!$F$4:$AI$33, INT((ROW()-1)/COLUMNS(Optimization!$F$4:$AI$33))+1, MOD(ROW()-1, COLUMNS(Optimization!$F$4:$AI$33))+1)</f>
        <v>#REF!</v>
      </c>
      <c r="C910" t="e" cm="1">
        <f t="array" ref="C910">INDEX(Optimization!$AT$4:$BW$33, INT((ROW()-1)/COLUMNS(Optimization!$AT$4:$BW$33))+1, MOD(ROW()-1, COLUMNS(Optimization!$AT$4:$BW$33))+1)</f>
        <v>#REF!</v>
      </c>
    </row>
    <row r="911" spans="1:3" x14ac:dyDescent="0.25">
      <c r="A911">
        <v>911</v>
      </c>
      <c r="B911" t="e" cm="1">
        <f t="array" ref="B911">INDEX(Optimization!$F$4:$AI$33, INT((ROW()-1)/COLUMNS(Optimization!$F$4:$AI$33))+1, MOD(ROW()-1, COLUMNS(Optimization!$F$4:$AI$33))+1)</f>
        <v>#REF!</v>
      </c>
      <c r="C911" t="e" cm="1">
        <f t="array" ref="C911">INDEX(Optimization!$AT$4:$BW$33, INT((ROW()-1)/COLUMNS(Optimization!$AT$4:$BW$33))+1, MOD(ROW()-1, COLUMNS(Optimization!$AT$4:$BW$33))+1)</f>
        <v>#REF!</v>
      </c>
    </row>
    <row r="912" spans="1:3" x14ac:dyDescent="0.25">
      <c r="A912">
        <v>912</v>
      </c>
      <c r="B912" t="e" cm="1">
        <f t="array" ref="B912">INDEX(Optimization!$F$4:$AI$33, INT((ROW()-1)/COLUMNS(Optimization!$F$4:$AI$33))+1, MOD(ROW()-1, COLUMNS(Optimization!$F$4:$AI$33))+1)</f>
        <v>#REF!</v>
      </c>
      <c r="C912" t="e" cm="1">
        <f t="array" ref="C912">INDEX(Optimization!$AT$4:$BW$33, INT((ROW()-1)/COLUMNS(Optimization!$AT$4:$BW$33))+1, MOD(ROW()-1, COLUMNS(Optimization!$AT$4:$BW$33))+1)</f>
        <v>#REF!</v>
      </c>
    </row>
    <row r="913" spans="1:3" x14ac:dyDescent="0.25">
      <c r="A913">
        <v>913</v>
      </c>
      <c r="B913" t="e" cm="1">
        <f t="array" ref="B913">INDEX(Optimization!$F$4:$AI$33, INT((ROW()-1)/COLUMNS(Optimization!$F$4:$AI$33))+1, MOD(ROW()-1, COLUMNS(Optimization!$F$4:$AI$33))+1)</f>
        <v>#REF!</v>
      </c>
      <c r="C913" t="e" cm="1">
        <f t="array" ref="C913">INDEX(Optimization!$AT$4:$BW$33, INT((ROW()-1)/COLUMNS(Optimization!$AT$4:$BW$33))+1, MOD(ROW()-1, COLUMNS(Optimization!$AT$4:$BW$33))+1)</f>
        <v>#REF!</v>
      </c>
    </row>
    <row r="914" spans="1:3" x14ac:dyDescent="0.25">
      <c r="A914">
        <v>914</v>
      </c>
      <c r="B914" t="e" cm="1">
        <f t="array" ref="B914">INDEX(Optimization!$F$4:$AI$33, INT((ROW()-1)/COLUMNS(Optimization!$F$4:$AI$33))+1, MOD(ROW()-1, COLUMNS(Optimization!$F$4:$AI$33))+1)</f>
        <v>#REF!</v>
      </c>
      <c r="C914" t="e" cm="1">
        <f t="array" ref="C914">INDEX(Optimization!$AT$4:$BW$33, INT((ROW()-1)/COLUMNS(Optimization!$AT$4:$BW$33))+1, MOD(ROW()-1, COLUMNS(Optimization!$AT$4:$BW$33))+1)</f>
        <v>#REF!</v>
      </c>
    </row>
    <row r="915" spans="1:3" x14ac:dyDescent="0.25">
      <c r="A915">
        <v>915</v>
      </c>
      <c r="B915" t="e" cm="1">
        <f t="array" ref="B915">INDEX(Optimization!$F$4:$AI$33, INT((ROW()-1)/COLUMNS(Optimization!$F$4:$AI$33))+1, MOD(ROW()-1, COLUMNS(Optimization!$F$4:$AI$33))+1)</f>
        <v>#REF!</v>
      </c>
      <c r="C915" t="e" cm="1">
        <f t="array" ref="C915">INDEX(Optimization!$AT$4:$BW$33, INT((ROW()-1)/COLUMNS(Optimization!$AT$4:$BW$33))+1, MOD(ROW()-1, COLUMNS(Optimization!$AT$4:$BW$33))+1)</f>
        <v>#REF!</v>
      </c>
    </row>
    <row r="916" spans="1:3" x14ac:dyDescent="0.25">
      <c r="A916">
        <v>916</v>
      </c>
      <c r="B916" t="e" cm="1">
        <f t="array" ref="B916">INDEX(Optimization!$F$4:$AI$33, INT((ROW()-1)/COLUMNS(Optimization!$F$4:$AI$33))+1, MOD(ROW()-1, COLUMNS(Optimization!$F$4:$AI$33))+1)</f>
        <v>#REF!</v>
      </c>
      <c r="C916" t="e" cm="1">
        <f t="array" ref="C916">INDEX(Optimization!$AT$4:$BW$33, INT((ROW()-1)/COLUMNS(Optimization!$AT$4:$BW$33))+1, MOD(ROW()-1, COLUMNS(Optimization!$AT$4:$BW$33))+1)</f>
        <v>#REF!</v>
      </c>
    </row>
    <row r="917" spans="1:3" x14ac:dyDescent="0.25">
      <c r="A917">
        <v>917</v>
      </c>
      <c r="B917" t="e" cm="1">
        <f t="array" ref="B917">INDEX(Optimization!$F$4:$AI$33, INT((ROW()-1)/COLUMNS(Optimization!$F$4:$AI$33))+1, MOD(ROW()-1, COLUMNS(Optimization!$F$4:$AI$33))+1)</f>
        <v>#REF!</v>
      </c>
      <c r="C917" t="e" cm="1">
        <f t="array" ref="C917">INDEX(Optimization!$AT$4:$BW$33, INT((ROW()-1)/COLUMNS(Optimization!$AT$4:$BW$33))+1, MOD(ROW()-1, COLUMNS(Optimization!$AT$4:$BW$33))+1)</f>
        <v>#REF!</v>
      </c>
    </row>
    <row r="918" spans="1:3" x14ac:dyDescent="0.25">
      <c r="A918">
        <v>918</v>
      </c>
      <c r="B918" t="e" cm="1">
        <f t="array" ref="B918">INDEX(Optimization!$F$4:$AI$33, INT((ROW()-1)/COLUMNS(Optimization!$F$4:$AI$33))+1, MOD(ROW()-1, COLUMNS(Optimization!$F$4:$AI$33))+1)</f>
        <v>#REF!</v>
      </c>
      <c r="C918" t="e" cm="1">
        <f t="array" ref="C918">INDEX(Optimization!$AT$4:$BW$33, INT((ROW()-1)/COLUMNS(Optimization!$AT$4:$BW$33))+1, MOD(ROW()-1, COLUMNS(Optimization!$AT$4:$BW$33))+1)</f>
        <v>#REF!</v>
      </c>
    </row>
    <row r="919" spans="1:3" x14ac:dyDescent="0.25">
      <c r="A919">
        <v>919</v>
      </c>
      <c r="B919" t="e" cm="1">
        <f t="array" ref="B919">INDEX(Optimization!$F$4:$AI$33, INT((ROW()-1)/COLUMNS(Optimization!$F$4:$AI$33))+1, MOD(ROW()-1, COLUMNS(Optimization!$F$4:$AI$33))+1)</f>
        <v>#REF!</v>
      </c>
      <c r="C919" t="e" cm="1">
        <f t="array" ref="C919">INDEX(Optimization!$AT$4:$BW$33, INT((ROW()-1)/COLUMNS(Optimization!$AT$4:$BW$33))+1, MOD(ROW()-1, COLUMNS(Optimization!$AT$4:$BW$33))+1)</f>
        <v>#REF!</v>
      </c>
    </row>
    <row r="920" spans="1:3" x14ac:dyDescent="0.25">
      <c r="A920">
        <v>920</v>
      </c>
      <c r="B920" t="e" cm="1">
        <f t="array" ref="B920">INDEX(Optimization!$F$4:$AI$33, INT((ROW()-1)/COLUMNS(Optimization!$F$4:$AI$33))+1, MOD(ROW()-1, COLUMNS(Optimization!$F$4:$AI$33))+1)</f>
        <v>#REF!</v>
      </c>
      <c r="C920" t="e" cm="1">
        <f t="array" ref="C920">INDEX(Optimization!$AT$4:$BW$33, INT((ROW()-1)/COLUMNS(Optimization!$AT$4:$BW$33))+1, MOD(ROW()-1, COLUMNS(Optimization!$AT$4:$BW$33))+1)</f>
        <v>#REF!</v>
      </c>
    </row>
    <row r="921" spans="1:3" x14ac:dyDescent="0.25">
      <c r="A921">
        <v>921</v>
      </c>
      <c r="B921" t="e" cm="1">
        <f t="array" ref="B921">INDEX(Optimization!$F$4:$AI$33, INT((ROW()-1)/COLUMNS(Optimization!$F$4:$AI$33))+1, MOD(ROW()-1, COLUMNS(Optimization!$F$4:$AI$33))+1)</f>
        <v>#REF!</v>
      </c>
      <c r="C921" t="e" cm="1">
        <f t="array" ref="C921">INDEX(Optimization!$AT$4:$BW$33, INT((ROW()-1)/COLUMNS(Optimization!$AT$4:$BW$33))+1, MOD(ROW()-1, COLUMNS(Optimization!$AT$4:$BW$33))+1)</f>
        <v>#REF!</v>
      </c>
    </row>
    <row r="922" spans="1:3" x14ac:dyDescent="0.25">
      <c r="A922">
        <v>922</v>
      </c>
      <c r="B922" t="e" cm="1">
        <f t="array" ref="B922">INDEX(Optimization!$F$4:$AI$33, INT((ROW()-1)/COLUMNS(Optimization!$F$4:$AI$33))+1, MOD(ROW()-1, COLUMNS(Optimization!$F$4:$AI$33))+1)</f>
        <v>#REF!</v>
      </c>
      <c r="C922" t="e" cm="1">
        <f t="array" ref="C922">INDEX(Optimization!$AT$4:$BW$33, INT((ROW()-1)/COLUMNS(Optimization!$AT$4:$BW$33))+1, MOD(ROW()-1, COLUMNS(Optimization!$AT$4:$BW$33))+1)</f>
        <v>#REF!</v>
      </c>
    </row>
    <row r="923" spans="1:3" x14ac:dyDescent="0.25">
      <c r="A923">
        <v>923</v>
      </c>
      <c r="B923" t="e" cm="1">
        <f t="array" ref="B923">INDEX(Optimization!$F$4:$AI$33, INT((ROW()-1)/COLUMNS(Optimization!$F$4:$AI$33))+1, MOD(ROW()-1, COLUMNS(Optimization!$F$4:$AI$33))+1)</f>
        <v>#REF!</v>
      </c>
      <c r="C923" t="e" cm="1">
        <f t="array" ref="C923">INDEX(Optimization!$AT$4:$BW$33, INT((ROW()-1)/COLUMNS(Optimization!$AT$4:$BW$33))+1, MOD(ROW()-1, COLUMNS(Optimization!$AT$4:$BW$33))+1)</f>
        <v>#REF!</v>
      </c>
    </row>
    <row r="924" spans="1:3" x14ac:dyDescent="0.25">
      <c r="A924">
        <v>924</v>
      </c>
      <c r="B924" t="e" cm="1">
        <f t="array" ref="B924">INDEX(Optimization!$F$4:$AI$33, INT((ROW()-1)/COLUMNS(Optimization!$F$4:$AI$33))+1, MOD(ROW()-1, COLUMNS(Optimization!$F$4:$AI$33))+1)</f>
        <v>#REF!</v>
      </c>
      <c r="C924" t="e" cm="1">
        <f t="array" ref="C924">INDEX(Optimization!$AT$4:$BW$33, INT((ROW()-1)/COLUMNS(Optimization!$AT$4:$BW$33))+1, MOD(ROW()-1, COLUMNS(Optimization!$AT$4:$BW$33))+1)</f>
        <v>#REF!</v>
      </c>
    </row>
    <row r="925" spans="1:3" x14ac:dyDescent="0.25">
      <c r="A925">
        <v>925</v>
      </c>
      <c r="B925" t="e" cm="1">
        <f t="array" ref="B925">INDEX(Optimization!$F$4:$AI$33, INT((ROW()-1)/COLUMNS(Optimization!$F$4:$AI$33))+1, MOD(ROW()-1, COLUMNS(Optimization!$F$4:$AI$33))+1)</f>
        <v>#REF!</v>
      </c>
      <c r="C925" t="e" cm="1">
        <f t="array" ref="C925">INDEX(Optimization!$AT$4:$BW$33, INT((ROW()-1)/COLUMNS(Optimization!$AT$4:$BW$33))+1, MOD(ROW()-1, COLUMNS(Optimization!$AT$4:$BW$33))+1)</f>
        <v>#REF!</v>
      </c>
    </row>
    <row r="926" spans="1:3" x14ac:dyDescent="0.25">
      <c r="A926">
        <v>926</v>
      </c>
      <c r="B926" t="e" cm="1">
        <f t="array" ref="B926">INDEX(Optimization!$F$4:$AI$33, INT((ROW()-1)/COLUMNS(Optimization!$F$4:$AI$33))+1, MOD(ROW()-1, COLUMNS(Optimization!$F$4:$AI$33))+1)</f>
        <v>#REF!</v>
      </c>
      <c r="C926" t="e" cm="1">
        <f t="array" ref="C926">INDEX(Optimization!$AT$4:$BW$33, INT((ROW()-1)/COLUMNS(Optimization!$AT$4:$BW$33))+1, MOD(ROW()-1, COLUMNS(Optimization!$AT$4:$BW$33))+1)</f>
        <v>#REF!</v>
      </c>
    </row>
    <row r="927" spans="1:3" x14ac:dyDescent="0.25">
      <c r="A927">
        <v>927</v>
      </c>
      <c r="B927" t="e" cm="1">
        <f t="array" ref="B927">INDEX(Optimization!$F$4:$AI$33, INT((ROW()-1)/COLUMNS(Optimization!$F$4:$AI$33))+1, MOD(ROW()-1, COLUMNS(Optimization!$F$4:$AI$33))+1)</f>
        <v>#REF!</v>
      </c>
      <c r="C927" t="e" cm="1">
        <f t="array" ref="C927">INDEX(Optimization!$AT$4:$BW$33, INT((ROW()-1)/COLUMNS(Optimization!$AT$4:$BW$33))+1, MOD(ROW()-1, COLUMNS(Optimization!$AT$4:$BW$33))+1)</f>
        <v>#REF!</v>
      </c>
    </row>
    <row r="928" spans="1:3" x14ac:dyDescent="0.25">
      <c r="A928">
        <v>928</v>
      </c>
      <c r="B928" t="e" cm="1">
        <f t="array" ref="B928">INDEX(Optimization!$F$4:$AI$33, INT((ROW()-1)/COLUMNS(Optimization!$F$4:$AI$33))+1, MOD(ROW()-1, COLUMNS(Optimization!$F$4:$AI$33))+1)</f>
        <v>#REF!</v>
      </c>
      <c r="C928" t="e" cm="1">
        <f t="array" ref="C928">INDEX(Optimization!$AT$4:$BW$33, INT((ROW()-1)/COLUMNS(Optimization!$AT$4:$BW$33))+1, MOD(ROW()-1, COLUMNS(Optimization!$AT$4:$BW$33))+1)</f>
        <v>#REF!</v>
      </c>
    </row>
    <row r="929" spans="1:3" x14ac:dyDescent="0.25">
      <c r="A929">
        <v>929</v>
      </c>
      <c r="B929" t="e" cm="1">
        <f t="array" ref="B929">INDEX(Optimization!$F$4:$AI$33, INT((ROW()-1)/COLUMNS(Optimization!$F$4:$AI$33))+1, MOD(ROW()-1, COLUMNS(Optimization!$F$4:$AI$33))+1)</f>
        <v>#REF!</v>
      </c>
      <c r="C929" t="e" cm="1">
        <f t="array" ref="C929">INDEX(Optimization!$AT$4:$BW$33, INT((ROW()-1)/COLUMNS(Optimization!$AT$4:$BW$33))+1, MOD(ROW()-1, COLUMNS(Optimization!$AT$4:$BW$33))+1)</f>
        <v>#REF!</v>
      </c>
    </row>
    <row r="930" spans="1:3" x14ac:dyDescent="0.25">
      <c r="A930">
        <v>930</v>
      </c>
      <c r="B930" t="e" cm="1">
        <f t="array" ref="B930">INDEX(Optimization!$F$4:$AI$33, INT((ROW()-1)/COLUMNS(Optimization!$F$4:$AI$33))+1, MOD(ROW()-1, COLUMNS(Optimization!$F$4:$AI$33))+1)</f>
        <v>#REF!</v>
      </c>
      <c r="C930" t="e" cm="1">
        <f t="array" ref="C930">INDEX(Optimization!$AT$4:$BW$33, INT((ROW()-1)/COLUMNS(Optimization!$AT$4:$BW$33))+1, MOD(ROW()-1, COLUMNS(Optimization!$AT$4:$BW$33))+1)</f>
        <v>#REF!</v>
      </c>
    </row>
    <row r="931" spans="1:3" x14ac:dyDescent="0.25">
      <c r="A931">
        <v>931</v>
      </c>
      <c r="B931" t="e" cm="1">
        <f t="array" ref="B931">INDEX(Optimization!$F$4:$AI$33, INT((ROW()-1)/COLUMNS(Optimization!$F$4:$AI$33))+1, MOD(ROW()-1, COLUMNS(Optimization!$F$4:$AI$33))+1)</f>
        <v>#REF!</v>
      </c>
      <c r="C931" t="e" cm="1">
        <f t="array" ref="C931">INDEX(Optimization!$AT$4:$BW$33, INT((ROW()-1)/COLUMNS(Optimization!$AT$4:$BW$33))+1, MOD(ROW()-1, COLUMNS(Optimization!$AT$4:$BW$33))+1)</f>
        <v>#REF!</v>
      </c>
    </row>
    <row r="932" spans="1:3" x14ac:dyDescent="0.25">
      <c r="A932">
        <v>932</v>
      </c>
      <c r="B932" t="e" cm="1">
        <f t="array" ref="B932">INDEX(Optimization!$F$4:$AI$33, INT((ROW()-1)/COLUMNS(Optimization!$F$4:$AI$33))+1, MOD(ROW()-1, COLUMNS(Optimization!$F$4:$AI$33))+1)</f>
        <v>#REF!</v>
      </c>
      <c r="C932" t="e" cm="1">
        <f t="array" ref="C932">INDEX(Optimization!$AT$4:$BW$33, INT((ROW()-1)/COLUMNS(Optimization!$AT$4:$BW$33))+1, MOD(ROW()-1, COLUMNS(Optimization!$AT$4:$BW$33))+1)</f>
        <v>#REF!</v>
      </c>
    </row>
    <row r="933" spans="1:3" x14ac:dyDescent="0.25">
      <c r="A933">
        <v>933</v>
      </c>
      <c r="B933" t="e" cm="1">
        <f t="array" ref="B933">INDEX(Optimization!$F$4:$AI$33, INT((ROW()-1)/COLUMNS(Optimization!$F$4:$AI$33))+1, MOD(ROW()-1, COLUMNS(Optimization!$F$4:$AI$33))+1)</f>
        <v>#REF!</v>
      </c>
      <c r="C933" t="e" cm="1">
        <f t="array" ref="C933">INDEX(Optimization!$AT$4:$BW$33, INT((ROW()-1)/COLUMNS(Optimization!$AT$4:$BW$33))+1, MOD(ROW()-1, COLUMNS(Optimization!$AT$4:$BW$33))+1)</f>
        <v>#REF!</v>
      </c>
    </row>
    <row r="934" spans="1:3" x14ac:dyDescent="0.25">
      <c r="A934">
        <v>934</v>
      </c>
      <c r="B934" t="e" cm="1">
        <f t="array" ref="B934">INDEX(Optimization!$F$4:$AI$33, INT((ROW()-1)/COLUMNS(Optimization!$F$4:$AI$33))+1, MOD(ROW()-1, COLUMNS(Optimization!$F$4:$AI$33))+1)</f>
        <v>#REF!</v>
      </c>
      <c r="C934" t="e" cm="1">
        <f t="array" ref="C934">INDEX(Optimization!$AT$4:$BW$33, INT((ROW()-1)/COLUMNS(Optimization!$AT$4:$BW$33))+1, MOD(ROW()-1, COLUMNS(Optimization!$AT$4:$BW$33))+1)</f>
        <v>#REF!</v>
      </c>
    </row>
    <row r="935" spans="1:3" x14ac:dyDescent="0.25">
      <c r="A935">
        <v>935</v>
      </c>
      <c r="B935" t="e" cm="1">
        <f t="array" ref="B935">INDEX(Optimization!$F$4:$AI$33, INT((ROW()-1)/COLUMNS(Optimization!$F$4:$AI$33))+1, MOD(ROW()-1, COLUMNS(Optimization!$F$4:$AI$33))+1)</f>
        <v>#REF!</v>
      </c>
      <c r="C935" t="e" cm="1">
        <f t="array" ref="C935">INDEX(Optimization!$AT$4:$BW$33, INT((ROW()-1)/COLUMNS(Optimization!$AT$4:$BW$33))+1, MOD(ROW()-1, COLUMNS(Optimization!$AT$4:$BW$33))+1)</f>
        <v>#REF!</v>
      </c>
    </row>
    <row r="936" spans="1:3" x14ac:dyDescent="0.25">
      <c r="A936">
        <v>936</v>
      </c>
      <c r="B936" t="e" cm="1">
        <f t="array" ref="B936">INDEX(Optimization!$F$4:$AI$33, INT((ROW()-1)/COLUMNS(Optimization!$F$4:$AI$33))+1, MOD(ROW()-1, COLUMNS(Optimization!$F$4:$AI$33))+1)</f>
        <v>#REF!</v>
      </c>
      <c r="C936" t="e" cm="1">
        <f t="array" ref="C936">INDEX(Optimization!$AT$4:$BW$33, INT((ROW()-1)/COLUMNS(Optimization!$AT$4:$BW$33))+1, MOD(ROW()-1, COLUMNS(Optimization!$AT$4:$BW$33))+1)</f>
        <v>#REF!</v>
      </c>
    </row>
    <row r="937" spans="1:3" x14ac:dyDescent="0.25">
      <c r="A937">
        <v>937</v>
      </c>
      <c r="B937" t="e" cm="1">
        <f t="array" ref="B937">INDEX(Optimization!$F$4:$AI$33, INT((ROW()-1)/COLUMNS(Optimization!$F$4:$AI$33))+1, MOD(ROW()-1, COLUMNS(Optimization!$F$4:$AI$33))+1)</f>
        <v>#REF!</v>
      </c>
      <c r="C937" t="e" cm="1">
        <f t="array" ref="C937">INDEX(Optimization!$AT$4:$BW$33, INT((ROW()-1)/COLUMNS(Optimization!$AT$4:$BW$33))+1, MOD(ROW()-1, COLUMNS(Optimization!$AT$4:$BW$33))+1)</f>
        <v>#REF!</v>
      </c>
    </row>
    <row r="938" spans="1:3" x14ac:dyDescent="0.25">
      <c r="A938">
        <v>938</v>
      </c>
      <c r="B938" t="e" cm="1">
        <f t="array" ref="B938">INDEX(Optimization!$F$4:$AI$33, INT((ROW()-1)/COLUMNS(Optimization!$F$4:$AI$33))+1, MOD(ROW()-1, COLUMNS(Optimization!$F$4:$AI$33))+1)</f>
        <v>#REF!</v>
      </c>
      <c r="C938" t="e" cm="1">
        <f t="array" ref="C938">INDEX(Optimization!$AT$4:$BW$33, INT((ROW()-1)/COLUMNS(Optimization!$AT$4:$BW$33))+1, MOD(ROW()-1, COLUMNS(Optimization!$AT$4:$BW$33))+1)</f>
        <v>#REF!</v>
      </c>
    </row>
    <row r="939" spans="1:3" x14ac:dyDescent="0.25">
      <c r="A939">
        <v>939</v>
      </c>
      <c r="B939" t="e" cm="1">
        <f t="array" ref="B939">INDEX(Optimization!$F$4:$AI$33, INT((ROW()-1)/COLUMNS(Optimization!$F$4:$AI$33))+1, MOD(ROW()-1, COLUMNS(Optimization!$F$4:$AI$33))+1)</f>
        <v>#REF!</v>
      </c>
      <c r="C939" t="e" cm="1">
        <f t="array" ref="C939">INDEX(Optimization!$AT$4:$BW$33, INT((ROW()-1)/COLUMNS(Optimization!$AT$4:$BW$33))+1, MOD(ROW()-1, COLUMNS(Optimization!$AT$4:$BW$33))+1)</f>
        <v>#REF!</v>
      </c>
    </row>
    <row r="940" spans="1:3" x14ac:dyDescent="0.25">
      <c r="A940">
        <v>940</v>
      </c>
      <c r="B940" t="e" cm="1">
        <f t="array" ref="B940">INDEX(Optimization!$F$4:$AI$33, INT((ROW()-1)/COLUMNS(Optimization!$F$4:$AI$33))+1, MOD(ROW()-1, COLUMNS(Optimization!$F$4:$AI$33))+1)</f>
        <v>#REF!</v>
      </c>
      <c r="C940" t="e" cm="1">
        <f t="array" ref="C940">INDEX(Optimization!$AT$4:$BW$33, INT((ROW()-1)/COLUMNS(Optimization!$AT$4:$BW$33))+1, MOD(ROW()-1, COLUMNS(Optimization!$AT$4:$BW$33))+1)</f>
        <v>#REF!</v>
      </c>
    </row>
    <row r="941" spans="1:3" x14ac:dyDescent="0.25">
      <c r="A941">
        <v>941</v>
      </c>
      <c r="B941" t="e" cm="1">
        <f t="array" ref="B941">INDEX(Optimization!$F$4:$AI$33, INT((ROW()-1)/COLUMNS(Optimization!$F$4:$AI$33))+1, MOD(ROW()-1, COLUMNS(Optimization!$F$4:$AI$33))+1)</f>
        <v>#REF!</v>
      </c>
      <c r="C941" t="e" cm="1">
        <f t="array" ref="C941">INDEX(Optimization!$AT$4:$BW$33, INT((ROW()-1)/COLUMNS(Optimization!$AT$4:$BW$33))+1, MOD(ROW()-1, COLUMNS(Optimization!$AT$4:$BW$33))+1)</f>
        <v>#REF!</v>
      </c>
    </row>
    <row r="942" spans="1:3" x14ac:dyDescent="0.25">
      <c r="A942">
        <v>942</v>
      </c>
      <c r="B942" t="e" cm="1">
        <f t="array" ref="B942">INDEX(Optimization!$F$4:$AI$33, INT((ROW()-1)/COLUMNS(Optimization!$F$4:$AI$33))+1, MOD(ROW()-1, COLUMNS(Optimization!$F$4:$AI$33))+1)</f>
        <v>#REF!</v>
      </c>
      <c r="C942" t="e" cm="1">
        <f t="array" ref="C942">INDEX(Optimization!$AT$4:$BW$33, INT((ROW()-1)/COLUMNS(Optimization!$AT$4:$BW$33))+1, MOD(ROW()-1, COLUMNS(Optimization!$AT$4:$BW$33))+1)</f>
        <v>#REF!</v>
      </c>
    </row>
    <row r="943" spans="1:3" x14ac:dyDescent="0.25">
      <c r="A943">
        <v>943</v>
      </c>
      <c r="B943" t="e" cm="1">
        <f t="array" ref="B943">INDEX(Optimization!$F$4:$AI$33, INT((ROW()-1)/COLUMNS(Optimization!$F$4:$AI$33))+1, MOD(ROW()-1, COLUMNS(Optimization!$F$4:$AI$33))+1)</f>
        <v>#REF!</v>
      </c>
      <c r="C943" t="e" cm="1">
        <f t="array" ref="C943">INDEX(Optimization!$AT$4:$BW$33, INT((ROW()-1)/COLUMNS(Optimization!$AT$4:$BW$33))+1, MOD(ROW()-1, COLUMNS(Optimization!$AT$4:$BW$33))+1)</f>
        <v>#REF!</v>
      </c>
    </row>
    <row r="944" spans="1:3" x14ac:dyDescent="0.25">
      <c r="A944">
        <v>944</v>
      </c>
      <c r="B944" t="e" cm="1">
        <f t="array" ref="B944">INDEX(Optimization!$F$4:$AI$33, INT((ROW()-1)/COLUMNS(Optimization!$F$4:$AI$33))+1, MOD(ROW()-1, COLUMNS(Optimization!$F$4:$AI$33))+1)</f>
        <v>#REF!</v>
      </c>
      <c r="C944" t="e" cm="1">
        <f t="array" ref="C944">INDEX(Optimization!$AT$4:$BW$33, INT((ROW()-1)/COLUMNS(Optimization!$AT$4:$BW$33))+1, MOD(ROW()-1, COLUMNS(Optimization!$AT$4:$BW$33))+1)</f>
        <v>#REF!</v>
      </c>
    </row>
    <row r="945" spans="1:3" x14ac:dyDescent="0.25">
      <c r="A945">
        <v>945</v>
      </c>
      <c r="B945" t="e" cm="1">
        <f t="array" ref="B945">INDEX(Optimization!$F$4:$AI$33, INT((ROW()-1)/COLUMNS(Optimization!$F$4:$AI$33))+1, MOD(ROW()-1, COLUMNS(Optimization!$F$4:$AI$33))+1)</f>
        <v>#REF!</v>
      </c>
      <c r="C945" t="e" cm="1">
        <f t="array" ref="C945">INDEX(Optimization!$AT$4:$BW$33, INT((ROW()-1)/COLUMNS(Optimization!$AT$4:$BW$33))+1, MOD(ROW()-1, COLUMNS(Optimization!$AT$4:$BW$33))+1)</f>
        <v>#REF!</v>
      </c>
    </row>
    <row r="946" spans="1:3" x14ac:dyDescent="0.25">
      <c r="A946">
        <v>946</v>
      </c>
      <c r="B946" t="e" cm="1">
        <f t="array" ref="B946">INDEX(Optimization!$F$4:$AI$33, INT((ROW()-1)/COLUMNS(Optimization!$F$4:$AI$33))+1, MOD(ROW()-1, COLUMNS(Optimization!$F$4:$AI$33))+1)</f>
        <v>#REF!</v>
      </c>
      <c r="C946" t="e" cm="1">
        <f t="array" ref="C946">INDEX(Optimization!$AT$4:$BW$33, INT((ROW()-1)/COLUMNS(Optimization!$AT$4:$BW$33))+1, MOD(ROW()-1, COLUMNS(Optimization!$AT$4:$BW$33))+1)</f>
        <v>#REF!</v>
      </c>
    </row>
    <row r="947" spans="1:3" x14ac:dyDescent="0.25">
      <c r="A947">
        <v>947</v>
      </c>
      <c r="B947" t="e" cm="1">
        <f t="array" ref="B947">INDEX(Optimization!$F$4:$AI$33, INT((ROW()-1)/COLUMNS(Optimization!$F$4:$AI$33))+1, MOD(ROW()-1, COLUMNS(Optimization!$F$4:$AI$33))+1)</f>
        <v>#REF!</v>
      </c>
      <c r="C947" t="e" cm="1">
        <f t="array" ref="C947">INDEX(Optimization!$AT$4:$BW$33, INT((ROW()-1)/COLUMNS(Optimization!$AT$4:$BW$33))+1, MOD(ROW()-1, COLUMNS(Optimization!$AT$4:$BW$33))+1)</f>
        <v>#REF!</v>
      </c>
    </row>
    <row r="948" spans="1:3" x14ac:dyDescent="0.25">
      <c r="A948">
        <v>948</v>
      </c>
      <c r="B948" t="e" cm="1">
        <f t="array" ref="B948">INDEX(Optimization!$F$4:$AI$33, INT((ROW()-1)/COLUMNS(Optimization!$F$4:$AI$33))+1, MOD(ROW()-1, COLUMNS(Optimization!$F$4:$AI$33))+1)</f>
        <v>#REF!</v>
      </c>
      <c r="C948" t="e" cm="1">
        <f t="array" ref="C948">INDEX(Optimization!$AT$4:$BW$33, INT((ROW()-1)/COLUMNS(Optimization!$AT$4:$BW$33))+1, MOD(ROW()-1, COLUMNS(Optimization!$AT$4:$BW$33))+1)</f>
        <v>#REF!</v>
      </c>
    </row>
    <row r="949" spans="1:3" x14ac:dyDescent="0.25">
      <c r="A949">
        <v>949</v>
      </c>
      <c r="B949" t="e" cm="1">
        <f t="array" ref="B949">INDEX(Optimization!$F$4:$AI$33, INT((ROW()-1)/COLUMNS(Optimization!$F$4:$AI$33))+1, MOD(ROW()-1, COLUMNS(Optimization!$F$4:$AI$33))+1)</f>
        <v>#REF!</v>
      </c>
      <c r="C949" t="e" cm="1">
        <f t="array" ref="C949">INDEX(Optimization!$AT$4:$BW$33, INT((ROW()-1)/COLUMNS(Optimization!$AT$4:$BW$33))+1, MOD(ROW()-1, COLUMNS(Optimization!$AT$4:$BW$33))+1)</f>
        <v>#REF!</v>
      </c>
    </row>
    <row r="950" spans="1:3" x14ac:dyDescent="0.25">
      <c r="A950">
        <v>950</v>
      </c>
      <c r="B950" t="e" cm="1">
        <f t="array" ref="B950">INDEX(Optimization!$F$4:$AI$33, INT((ROW()-1)/COLUMNS(Optimization!$F$4:$AI$33))+1, MOD(ROW()-1, COLUMNS(Optimization!$F$4:$AI$33))+1)</f>
        <v>#REF!</v>
      </c>
      <c r="C950" t="e" cm="1">
        <f t="array" ref="C950">INDEX(Optimization!$AT$4:$BW$33, INT((ROW()-1)/COLUMNS(Optimization!$AT$4:$BW$33))+1, MOD(ROW()-1, COLUMNS(Optimization!$AT$4:$BW$33))+1)</f>
        <v>#REF!</v>
      </c>
    </row>
    <row r="951" spans="1:3" x14ac:dyDescent="0.25">
      <c r="A951">
        <v>951</v>
      </c>
      <c r="B951" t="e" cm="1">
        <f t="array" ref="B951">INDEX(Optimization!$F$4:$AI$33, INT((ROW()-1)/COLUMNS(Optimization!$F$4:$AI$33))+1, MOD(ROW()-1, COLUMNS(Optimization!$F$4:$AI$33))+1)</f>
        <v>#REF!</v>
      </c>
      <c r="C951" t="e" cm="1">
        <f t="array" ref="C951">INDEX(Optimization!$AT$4:$BW$33, INT((ROW()-1)/COLUMNS(Optimization!$AT$4:$BW$33))+1, MOD(ROW()-1, COLUMNS(Optimization!$AT$4:$BW$33))+1)</f>
        <v>#REF!</v>
      </c>
    </row>
    <row r="952" spans="1:3" x14ac:dyDescent="0.25">
      <c r="A952">
        <v>952</v>
      </c>
      <c r="B952" t="e" cm="1">
        <f t="array" ref="B952">INDEX(Optimization!$F$4:$AI$33, INT((ROW()-1)/COLUMNS(Optimization!$F$4:$AI$33))+1, MOD(ROW()-1, COLUMNS(Optimization!$F$4:$AI$33))+1)</f>
        <v>#REF!</v>
      </c>
      <c r="C952" t="e" cm="1">
        <f t="array" ref="C952">INDEX(Optimization!$AT$4:$BW$33, INT((ROW()-1)/COLUMNS(Optimization!$AT$4:$BW$33))+1, MOD(ROW()-1, COLUMNS(Optimization!$AT$4:$BW$33))+1)</f>
        <v>#REF!</v>
      </c>
    </row>
    <row r="953" spans="1:3" x14ac:dyDescent="0.25">
      <c r="A953">
        <v>953</v>
      </c>
      <c r="B953" t="e" cm="1">
        <f t="array" ref="B953">INDEX(Optimization!$F$4:$AI$33, INT((ROW()-1)/COLUMNS(Optimization!$F$4:$AI$33))+1, MOD(ROW()-1, COLUMNS(Optimization!$F$4:$AI$33))+1)</f>
        <v>#REF!</v>
      </c>
      <c r="C953" t="e" cm="1">
        <f t="array" ref="C953">INDEX(Optimization!$AT$4:$BW$33, INT((ROW()-1)/COLUMNS(Optimization!$AT$4:$BW$33))+1, MOD(ROW()-1, COLUMNS(Optimization!$AT$4:$BW$33))+1)</f>
        <v>#REF!</v>
      </c>
    </row>
    <row r="954" spans="1:3" x14ac:dyDescent="0.25">
      <c r="A954">
        <v>954</v>
      </c>
      <c r="B954" t="e" cm="1">
        <f t="array" ref="B954">INDEX(Optimization!$F$4:$AI$33, INT((ROW()-1)/COLUMNS(Optimization!$F$4:$AI$33))+1, MOD(ROW()-1, COLUMNS(Optimization!$F$4:$AI$33))+1)</f>
        <v>#REF!</v>
      </c>
      <c r="C954" t="e" cm="1">
        <f t="array" ref="C954">INDEX(Optimization!$AT$4:$BW$33, INT((ROW()-1)/COLUMNS(Optimization!$AT$4:$BW$33))+1, MOD(ROW()-1, COLUMNS(Optimization!$AT$4:$BW$33))+1)</f>
        <v>#REF!</v>
      </c>
    </row>
    <row r="955" spans="1:3" x14ac:dyDescent="0.25">
      <c r="A955">
        <v>955</v>
      </c>
      <c r="B955" t="e" cm="1">
        <f t="array" ref="B955">INDEX(Optimization!$F$4:$AI$33, INT((ROW()-1)/COLUMNS(Optimization!$F$4:$AI$33))+1, MOD(ROW()-1, COLUMNS(Optimization!$F$4:$AI$33))+1)</f>
        <v>#REF!</v>
      </c>
      <c r="C955" t="e" cm="1">
        <f t="array" ref="C955">INDEX(Optimization!$AT$4:$BW$33, INT((ROW()-1)/COLUMNS(Optimization!$AT$4:$BW$33))+1, MOD(ROW()-1, COLUMNS(Optimization!$AT$4:$BW$33))+1)</f>
        <v>#REF!</v>
      </c>
    </row>
    <row r="956" spans="1:3" x14ac:dyDescent="0.25">
      <c r="A956">
        <v>956</v>
      </c>
      <c r="B956" t="e" cm="1">
        <f t="array" ref="B956">INDEX(Optimization!$F$4:$AI$33, INT((ROW()-1)/COLUMNS(Optimization!$F$4:$AI$33))+1, MOD(ROW()-1, COLUMNS(Optimization!$F$4:$AI$33))+1)</f>
        <v>#REF!</v>
      </c>
      <c r="C956" t="e" cm="1">
        <f t="array" ref="C956">INDEX(Optimization!$AT$4:$BW$33, INT((ROW()-1)/COLUMNS(Optimization!$AT$4:$BW$33))+1, MOD(ROW()-1, COLUMNS(Optimization!$AT$4:$BW$33))+1)</f>
        <v>#REF!</v>
      </c>
    </row>
    <row r="957" spans="1:3" x14ac:dyDescent="0.25">
      <c r="A957">
        <v>957</v>
      </c>
      <c r="B957" t="e" cm="1">
        <f t="array" ref="B957">INDEX(Optimization!$F$4:$AI$33, INT((ROW()-1)/COLUMNS(Optimization!$F$4:$AI$33))+1, MOD(ROW()-1, COLUMNS(Optimization!$F$4:$AI$33))+1)</f>
        <v>#REF!</v>
      </c>
      <c r="C957" t="e" cm="1">
        <f t="array" ref="C957">INDEX(Optimization!$AT$4:$BW$33, INT((ROW()-1)/COLUMNS(Optimization!$AT$4:$BW$33))+1, MOD(ROW()-1, COLUMNS(Optimization!$AT$4:$BW$33))+1)</f>
        <v>#REF!</v>
      </c>
    </row>
    <row r="958" spans="1:3" x14ac:dyDescent="0.25">
      <c r="A958">
        <v>958</v>
      </c>
      <c r="B958" t="e" cm="1">
        <f t="array" ref="B958">INDEX(Optimization!$F$4:$AI$33, INT((ROW()-1)/COLUMNS(Optimization!$F$4:$AI$33))+1, MOD(ROW()-1, COLUMNS(Optimization!$F$4:$AI$33))+1)</f>
        <v>#REF!</v>
      </c>
      <c r="C958" t="e" cm="1">
        <f t="array" ref="C958">INDEX(Optimization!$AT$4:$BW$33, INT((ROW()-1)/COLUMNS(Optimization!$AT$4:$BW$33))+1, MOD(ROW()-1, COLUMNS(Optimization!$AT$4:$BW$33))+1)</f>
        <v>#REF!</v>
      </c>
    </row>
    <row r="959" spans="1:3" x14ac:dyDescent="0.25">
      <c r="A959">
        <v>959</v>
      </c>
      <c r="B959" t="e" cm="1">
        <f t="array" ref="B959">INDEX(Optimization!$F$4:$AI$33, INT((ROW()-1)/COLUMNS(Optimization!$F$4:$AI$33))+1, MOD(ROW()-1, COLUMNS(Optimization!$F$4:$AI$33))+1)</f>
        <v>#REF!</v>
      </c>
      <c r="C959" t="e" cm="1">
        <f t="array" ref="C959">INDEX(Optimization!$AT$4:$BW$33, INT((ROW()-1)/COLUMNS(Optimization!$AT$4:$BW$33))+1, MOD(ROW()-1, COLUMNS(Optimization!$AT$4:$BW$33))+1)</f>
        <v>#REF!</v>
      </c>
    </row>
    <row r="960" spans="1:3" x14ac:dyDescent="0.25">
      <c r="A960">
        <v>960</v>
      </c>
      <c r="B960" t="e" cm="1">
        <f t="array" ref="B960">INDEX(Optimization!$F$4:$AI$33, INT((ROW()-1)/COLUMNS(Optimization!$F$4:$AI$33))+1, MOD(ROW()-1, COLUMNS(Optimization!$F$4:$AI$33))+1)</f>
        <v>#REF!</v>
      </c>
      <c r="C960" t="e" cm="1">
        <f t="array" ref="C960">INDEX(Optimization!$AT$4:$BW$33, INT((ROW()-1)/COLUMNS(Optimization!$AT$4:$BW$33))+1, MOD(ROW()-1, COLUMNS(Optimization!$AT$4:$BW$33))+1)</f>
        <v>#REF!</v>
      </c>
    </row>
    <row r="961" spans="1:3" x14ac:dyDescent="0.25">
      <c r="A961">
        <v>961</v>
      </c>
      <c r="B961" t="e" cm="1">
        <f t="array" ref="B961">INDEX(Optimization!$F$4:$AI$33, INT((ROW()-1)/COLUMNS(Optimization!$F$4:$AI$33))+1, MOD(ROW()-1, COLUMNS(Optimization!$F$4:$AI$33))+1)</f>
        <v>#REF!</v>
      </c>
      <c r="C961" t="e" cm="1">
        <f t="array" ref="C961">INDEX(Optimization!$AT$4:$BW$33, INT((ROW()-1)/COLUMNS(Optimization!$AT$4:$BW$33))+1, MOD(ROW()-1, COLUMNS(Optimization!$AT$4:$BW$33))+1)</f>
        <v>#REF!</v>
      </c>
    </row>
    <row r="962" spans="1:3" x14ac:dyDescent="0.25">
      <c r="A962">
        <v>962</v>
      </c>
      <c r="B962" t="e" cm="1">
        <f t="array" ref="B962">INDEX(Optimization!$F$4:$AI$33, INT((ROW()-1)/COLUMNS(Optimization!$F$4:$AI$33))+1, MOD(ROW()-1, COLUMNS(Optimization!$F$4:$AI$33))+1)</f>
        <v>#REF!</v>
      </c>
      <c r="C962" t="e" cm="1">
        <f t="array" ref="C962">INDEX(Optimization!$AT$4:$BW$33, INT((ROW()-1)/COLUMNS(Optimization!$AT$4:$BW$33))+1, MOD(ROW()-1, COLUMNS(Optimization!$AT$4:$BW$33))+1)</f>
        <v>#REF!</v>
      </c>
    </row>
    <row r="963" spans="1:3" x14ac:dyDescent="0.25">
      <c r="A963">
        <v>963</v>
      </c>
      <c r="B963" t="e" cm="1">
        <f t="array" ref="B963">INDEX(Optimization!$F$4:$AI$33, INT((ROW()-1)/COLUMNS(Optimization!$F$4:$AI$33))+1, MOD(ROW()-1, COLUMNS(Optimization!$F$4:$AI$33))+1)</f>
        <v>#REF!</v>
      </c>
      <c r="C963" t="e" cm="1">
        <f t="array" ref="C963">INDEX(Optimization!$AT$4:$BW$33, INT((ROW()-1)/COLUMNS(Optimization!$AT$4:$BW$33))+1, MOD(ROW()-1, COLUMNS(Optimization!$AT$4:$BW$33))+1)</f>
        <v>#REF!</v>
      </c>
    </row>
    <row r="964" spans="1:3" x14ac:dyDescent="0.25">
      <c r="A964">
        <v>964</v>
      </c>
      <c r="B964" t="e" cm="1">
        <f t="array" ref="B964">INDEX(Optimization!$F$4:$AI$33, INT((ROW()-1)/COLUMNS(Optimization!$F$4:$AI$33))+1, MOD(ROW()-1, COLUMNS(Optimization!$F$4:$AI$33))+1)</f>
        <v>#REF!</v>
      </c>
      <c r="C964" t="e" cm="1">
        <f t="array" ref="C964">INDEX(Optimization!$AT$4:$BW$33, INT((ROW()-1)/COLUMNS(Optimization!$AT$4:$BW$33))+1, MOD(ROW()-1, COLUMNS(Optimization!$AT$4:$BW$33))+1)</f>
        <v>#REF!</v>
      </c>
    </row>
    <row r="965" spans="1:3" x14ac:dyDescent="0.25">
      <c r="A965">
        <v>965</v>
      </c>
      <c r="B965" t="e" cm="1">
        <f t="array" ref="B965">INDEX(Optimization!$F$4:$AI$33, INT((ROW()-1)/COLUMNS(Optimization!$F$4:$AI$33))+1, MOD(ROW()-1, COLUMNS(Optimization!$F$4:$AI$33))+1)</f>
        <v>#REF!</v>
      </c>
      <c r="C965" t="e" cm="1">
        <f t="array" ref="C965">INDEX(Optimization!$AT$4:$BW$33, INT((ROW()-1)/COLUMNS(Optimization!$AT$4:$BW$33))+1, MOD(ROW()-1, COLUMNS(Optimization!$AT$4:$BW$33))+1)</f>
        <v>#REF!</v>
      </c>
    </row>
    <row r="966" spans="1:3" x14ac:dyDescent="0.25">
      <c r="A966">
        <v>966</v>
      </c>
      <c r="B966" t="e" cm="1">
        <f t="array" ref="B966">INDEX(Optimization!$F$4:$AI$33, INT((ROW()-1)/COLUMNS(Optimization!$F$4:$AI$33))+1, MOD(ROW()-1, COLUMNS(Optimization!$F$4:$AI$33))+1)</f>
        <v>#REF!</v>
      </c>
      <c r="C966" t="e" cm="1">
        <f t="array" ref="C966">INDEX(Optimization!$AT$4:$BW$33, INT((ROW()-1)/COLUMNS(Optimization!$AT$4:$BW$33))+1, MOD(ROW()-1, COLUMNS(Optimization!$AT$4:$BW$33))+1)</f>
        <v>#REF!</v>
      </c>
    </row>
    <row r="967" spans="1:3" x14ac:dyDescent="0.25">
      <c r="A967">
        <v>967</v>
      </c>
      <c r="B967" t="e" cm="1">
        <f t="array" ref="B967">INDEX(Optimization!$F$4:$AI$33, INT((ROW()-1)/COLUMNS(Optimization!$F$4:$AI$33))+1, MOD(ROW()-1, COLUMNS(Optimization!$F$4:$AI$33))+1)</f>
        <v>#REF!</v>
      </c>
      <c r="C967" t="e" cm="1">
        <f t="array" ref="C967">INDEX(Optimization!$AT$4:$BW$33, INT((ROW()-1)/COLUMNS(Optimization!$AT$4:$BW$33))+1, MOD(ROW()-1, COLUMNS(Optimization!$AT$4:$BW$33))+1)</f>
        <v>#REF!</v>
      </c>
    </row>
    <row r="968" spans="1:3" x14ac:dyDescent="0.25">
      <c r="A968">
        <v>968</v>
      </c>
      <c r="B968" t="e" cm="1">
        <f t="array" ref="B968">INDEX(Optimization!$F$4:$AI$33, INT((ROW()-1)/COLUMNS(Optimization!$F$4:$AI$33))+1, MOD(ROW()-1, COLUMNS(Optimization!$F$4:$AI$33))+1)</f>
        <v>#REF!</v>
      </c>
      <c r="C968" t="e" cm="1">
        <f t="array" ref="C968">INDEX(Optimization!$AT$4:$BW$33, INT((ROW()-1)/COLUMNS(Optimization!$AT$4:$BW$33))+1, MOD(ROW()-1, COLUMNS(Optimization!$AT$4:$BW$33))+1)</f>
        <v>#REF!</v>
      </c>
    </row>
    <row r="969" spans="1:3" x14ac:dyDescent="0.25">
      <c r="A969">
        <v>969</v>
      </c>
      <c r="B969" t="e" cm="1">
        <f t="array" ref="B969">INDEX(Optimization!$F$4:$AI$33, INT((ROW()-1)/COLUMNS(Optimization!$F$4:$AI$33))+1, MOD(ROW()-1, COLUMNS(Optimization!$F$4:$AI$33))+1)</f>
        <v>#REF!</v>
      </c>
      <c r="C969" t="e" cm="1">
        <f t="array" ref="C969">INDEX(Optimization!$AT$4:$BW$33, INT((ROW()-1)/COLUMNS(Optimization!$AT$4:$BW$33))+1, MOD(ROW()-1, COLUMNS(Optimization!$AT$4:$BW$33))+1)</f>
        <v>#REF!</v>
      </c>
    </row>
    <row r="970" spans="1:3" x14ac:dyDescent="0.25">
      <c r="A970">
        <v>970</v>
      </c>
      <c r="B970" t="e" cm="1">
        <f t="array" ref="B970">INDEX(Optimization!$F$4:$AI$33, INT((ROW()-1)/COLUMNS(Optimization!$F$4:$AI$33))+1, MOD(ROW()-1, COLUMNS(Optimization!$F$4:$AI$33))+1)</f>
        <v>#REF!</v>
      </c>
      <c r="C970" t="e" cm="1">
        <f t="array" ref="C970">INDEX(Optimization!$AT$4:$BW$33, INT((ROW()-1)/COLUMNS(Optimization!$AT$4:$BW$33))+1, MOD(ROW()-1, COLUMNS(Optimization!$AT$4:$BW$33))+1)</f>
        <v>#REF!</v>
      </c>
    </row>
    <row r="971" spans="1:3" x14ac:dyDescent="0.25">
      <c r="A971">
        <v>971</v>
      </c>
      <c r="B971" t="e" cm="1">
        <f t="array" ref="B971">INDEX(Optimization!$F$4:$AI$33, INT((ROW()-1)/COLUMNS(Optimization!$F$4:$AI$33))+1, MOD(ROW()-1, COLUMNS(Optimization!$F$4:$AI$33))+1)</f>
        <v>#REF!</v>
      </c>
      <c r="C971" t="e" cm="1">
        <f t="array" ref="C971">INDEX(Optimization!$AT$4:$BW$33, INT((ROW()-1)/COLUMNS(Optimization!$AT$4:$BW$33))+1, MOD(ROW()-1, COLUMNS(Optimization!$AT$4:$BW$33))+1)</f>
        <v>#REF!</v>
      </c>
    </row>
    <row r="972" spans="1:3" x14ac:dyDescent="0.25">
      <c r="A972">
        <v>972</v>
      </c>
      <c r="B972" t="e" cm="1">
        <f t="array" ref="B972">INDEX(Optimization!$F$4:$AI$33, INT((ROW()-1)/COLUMNS(Optimization!$F$4:$AI$33))+1, MOD(ROW()-1, COLUMNS(Optimization!$F$4:$AI$33))+1)</f>
        <v>#REF!</v>
      </c>
      <c r="C972" t="e" cm="1">
        <f t="array" ref="C972">INDEX(Optimization!$AT$4:$BW$33, INT((ROW()-1)/COLUMNS(Optimization!$AT$4:$BW$33))+1, MOD(ROW()-1, COLUMNS(Optimization!$AT$4:$BW$33))+1)</f>
        <v>#REF!</v>
      </c>
    </row>
    <row r="973" spans="1:3" x14ac:dyDescent="0.25">
      <c r="A973">
        <v>973</v>
      </c>
      <c r="B973" t="e" cm="1">
        <f t="array" ref="B973">INDEX(Optimization!$F$4:$AI$33, INT((ROW()-1)/COLUMNS(Optimization!$F$4:$AI$33))+1, MOD(ROW()-1, COLUMNS(Optimization!$F$4:$AI$33))+1)</f>
        <v>#REF!</v>
      </c>
      <c r="C973" t="e" cm="1">
        <f t="array" ref="C973">INDEX(Optimization!$AT$4:$BW$33, INT((ROW()-1)/COLUMNS(Optimization!$AT$4:$BW$33))+1, MOD(ROW()-1, COLUMNS(Optimization!$AT$4:$BW$33))+1)</f>
        <v>#REF!</v>
      </c>
    </row>
    <row r="974" spans="1:3" x14ac:dyDescent="0.25">
      <c r="A974">
        <v>974</v>
      </c>
      <c r="B974" t="e" cm="1">
        <f t="array" ref="B974">INDEX(Optimization!$F$4:$AI$33, INT((ROW()-1)/COLUMNS(Optimization!$F$4:$AI$33))+1, MOD(ROW()-1, COLUMNS(Optimization!$F$4:$AI$33))+1)</f>
        <v>#REF!</v>
      </c>
      <c r="C974" t="e" cm="1">
        <f t="array" ref="C974">INDEX(Optimization!$AT$4:$BW$33, INT((ROW()-1)/COLUMNS(Optimization!$AT$4:$BW$33))+1, MOD(ROW()-1, COLUMNS(Optimization!$AT$4:$BW$33))+1)</f>
        <v>#REF!</v>
      </c>
    </row>
    <row r="975" spans="1:3" x14ac:dyDescent="0.25">
      <c r="A975">
        <v>975</v>
      </c>
      <c r="B975" t="e" cm="1">
        <f t="array" ref="B975">INDEX(Optimization!$F$4:$AI$33, INT((ROW()-1)/COLUMNS(Optimization!$F$4:$AI$33))+1, MOD(ROW()-1, COLUMNS(Optimization!$F$4:$AI$33))+1)</f>
        <v>#REF!</v>
      </c>
      <c r="C975" t="e" cm="1">
        <f t="array" ref="C975">INDEX(Optimization!$AT$4:$BW$33, INT((ROW()-1)/COLUMNS(Optimization!$AT$4:$BW$33))+1, MOD(ROW()-1, COLUMNS(Optimization!$AT$4:$BW$33))+1)</f>
        <v>#REF!</v>
      </c>
    </row>
    <row r="976" spans="1:3" x14ac:dyDescent="0.25">
      <c r="A976">
        <v>976</v>
      </c>
      <c r="B976" t="e" cm="1">
        <f t="array" ref="B976">INDEX(Optimization!$F$4:$AI$33, INT((ROW()-1)/COLUMNS(Optimization!$F$4:$AI$33))+1, MOD(ROW()-1, COLUMNS(Optimization!$F$4:$AI$33))+1)</f>
        <v>#REF!</v>
      </c>
      <c r="C976" t="e" cm="1">
        <f t="array" ref="C976">INDEX(Optimization!$AT$4:$BW$33, INT((ROW()-1)/COLUMNS(Optimization!$AT$4:$BW$33))+1, MOD(ROW()-1, COLUMNS(Optimization!$AT$4:$BW$33))+1)</f>
        <v>#REF!</v>
      </c>
    </row>
    <row r="977" spans="1:3" x14ac:dyDescent="0.25">
      <c r="A977">
        <v>977</v>
      </c>
      <c r="B977" t="e" cm="1">
        <f t="array" ref="B977">INDEX(Optimization!$F$4:$AI$33, INT((ROW()-1)/COLUMNS(Optimization!$F$4:$AI$33))+1, MOD(ROW()-1, COLUMNS(Optimization!$F$4:$AI$33))+1)</f>
        <v>#REF!</v>
      </c>
      <c r="C977" t="e" cm="1">
        <f t="array" ref="C977">INDEX(Optimization!$AT$4:$BW$33, INT((ROW()-1)/COLUMNS(Optimization!$AT$4:$BW$33))+1, MOD(ROW()-1, COLUMNS(Optimization!$AT$4:$BW$33))+1)</f>
        <v>#REF!</v>
      </c>
    </row>
    <row r="978" spans="1:3" x14ac:dyDescent="0.25">
      <c r="A978">
        <v>978</v>
      </c>
      <c r="B978" t="e" cm="1">
        <f t="array" ref="B978">INDEX(Optimization!$F$4:$AI$33, INT((ROW()-1)/COLUMNS(Optimization!$F$4:$AI$33))+1, MOD(ROW()-1, COLUMNS(Optimization!$F$4:$AI$33))+1)</f>
        <v>#REF!</v>
      </c>
      <c r="C978" t="e" cm="1">
        <f t="array" ref="C978">INDEX(Optimization!$AT$4:$BW$33, INT((ROW()-1)/COLUMNS(Optimization!$AT$4:$BW$33))+1, MOD(ROW()-1, COLUMNS(Optimization!$AT$4:$BW$33))+1)</f>
        <v>#REF!</v>
      </c>
    </row>
    <row r="979" spans="1:3" x14ac:dyDescent="0.25">
      <c r="A979">
        <v>979</v>
      </c>
      <c r="B979" t="e" cm="1">
        <f t="array" ref="B979">INDEX(Optimization!$F$4:$AI$33, INT((ROW()-1)/COLUMNS(Optimization!$F$4:$AI$33))+1, MOD(ROW()-1, COLUMNS(Optimization!$F$4:$AI$33))+1)</f>
        <v>#REF!</v>
      </c>
      <c r="C979" t="e" cm="1">
        <f t="array" ref="C979">INDEX(Optimization!$AT$4:$BW$33, INT((ROW()-1)/COLUMNS(Optimization!$AT$4:$BW$33))+1, MOD(ROW()-1, COLUMNS(Optimization!$AT$4:$BW$33))+1)</f>
        <v>#REF!</v>
      </c>
    </row>
    <row r="980" spans="1:3" x14ac:dyDescent="0.25">
      <c r="A980">
        <v>980</v>
      </c>
      <c r="B980" t="e" cm="1">
        <f t="array" ref="B980">INDEX(Optimization!$F$4:$AI$33, INT((ROW()-1)/COLUMNS(Optimization!$F$4:$AI$33))+1, MOD(ROW()-1, COLUMNS(Optimization!$F$4:$AI$33))+1)</f>
        <v>#REF!</v>
      </c>
      <c r="C980" t="e" cm="1">
        <f t="array" ref="C980">INDEX(Optimization!$AT$4:$BW$33, INT((ROW()-1)/COLUMNS(Optimization!$AT$4:$BW$33))+1, MOD(ROW()-1, COLUMNS(Optimization!$AT$4:$BW$33))+1)</f>
        <v>#REF!</v>
      </c>
    </row>
    <row r="981" spans="1:3" x14ac:dyDescent="0.25">
      <c r="A981">
        <v>981</v>
      </c>
      <c r="B981" t="e" cm="1">
        <f t="array" ref="B981">INDEX(Optimization!$F$4:$AI$33, INT((ROW()-1)/COLUMNS(Optimization!$F$4:$AI$33))+1, MOD(ROW()-1, COLUMNS(Optimization!$F$4:$AI$33))+1)</f>
        <v>#REF!</v>
      </c>
      <c r="C981" t="e" cm="1">
        <f t="array" ref="C981">INDEX(Optimization!$AT$4:$BW$33, INT((ROW()-1)/COLUMNS(Optimization!$AT$4:$BW$33))+1, MOD(ROW()-1, COLUMNS(Optimization!$AT$4:$BW$33))+1)</f>
        <v>#REF!</v>
      </c>
    </row>
    <row r="982" spans="1:3" x14ac:dyDescent="0.25">
      <c r="A982">
        <v>982</v>
      </c>
      <c r="B982" t="e" cm="1">
        <f t="array" ref="B982">INDEX(Optimization!$F$4:$AI$33, INT((ROW()-1)/COLUMNS(Optimization!$F$4:$AI$33))+1, MOD(ROW()-1, COLUMNS(Optimization!$F$4:$AI$33))+1)</f>
        <v>#REF!</v>
      </c>
      <c r="C982" t="e" cm="1">
        <f t="array" ref="C982">INDEX(Optimization!$AT$4:$BW$33, INT((ROW()-1)/COLUMNS(Optimization!$AT$4:$BW$33))+1, MOD(ROW()-1, COLUMNS(Optimization!$AT$4:$BW$33))+1)</f>
        <v>#REF!</v>
      </c>
    </row>
    <row r="983" spans="1:3" x14ac:dyDescent="0.25">
      <c r="A983">
        <v>983</v>
      </c>
      <c r="B983" t="e" cm="1">
        <f t="array" ref="B983">INDEX(Optimization!$F$4:$AI$33, INT((ROW()-1)/COLUMNS(Optimization!$F$4:$AI$33))+1, MOD(ROW()-1, COLUMNS(Optimization!$F$4:$AI$33))+1)</f>
        <v>#REF!</v>
      </c>
      <c r="C983" t="e" cm="1">
        <f t="array" ref="C983">INDEX(Optimization!$AT$4:$BW$33, INT((ROW()-1)/COLUMNS(Optimization!$AT$4:$BW$33))+1, MOD(ROW()-1, COLUMNS(Optimization!$AT$4:$BW$33))+1)</f>
        <v>#REF!</v>
      </c>
    </row>
    <row r="984" spans="1:3" x14ac:dyDescent="0.25">
      <c r="A984">
        <v>984</v>
      </c>
      <c r="B984" t="e" cm="1">
        <f t="array" ref="B984">INDEX(Optimization!$F$4:$AI$33, INT((ROW()-1)/COLUMNS(Optimization!$F$4:$AI$33))+1, MOD(ROW()-1, COLUMNS(Optimization!$F$4:$AI$33))+1)</f>
        <v>#REF!</v>
      </c>
      <c r="C984" t="e" cm="1">
        <f t="array" ref="C984">INDEX(Optimization!$AT$4:$BW$33, INT((ROW()-1)/COLUMNS(Optimization!$AT$4:$BW$33))+1, MOD(ROW()-1, COLUMNS(Optimization!$AT$4:$BW$33))+1)</f>
        <v>#REF!</v>
      </c>
    </row>
    <row r="985" spans="1:3" x14ac:dyDescent="0.25">
      <c r="A985">
        <v>985</v>
      </c>
      <c r="B985" t="e" cm="1">
        <f t="array" ref="B985">INDEX(Optimization!$F$4:$AI$33, INT((ROW()-1)/COLUMNS(Optimization!$F$4:$AI$33))+1, MOD(ROW()-1, COLUMNS(Optimization!$F$4:$AI$33))+1)</f>
        <v>#REF!</v>
      </c>
      <c r="C985" t="e" cm="1">
        <f t="array" ref="C985">INDEX(Optimization!$AT$4:$BW$33, INT((ROW()-1)/COLUMNS(Optimization!$AT$4:$BW$33))+1, MOD(ROW()-1, COLUMNS(Optimization!$AT$4:$BW$33))+1)</f>
        <v>#REF!</v>
      </c>
    </row>
    <row r="986" spans="1:3" x14ac:dyDescent="0.25">
      <c r="A986">
        <v>986</v>
      </c>
      <c r="B986" t="e" cm="1">
        <f t="array" ref="B986">INDEX(Optimization!$F$4:$AI$33, INT((ROW()-1)/COLUMNS(Optimization!$F$4:$AI$33))+1, MOD(ROW()-1, COLUMNS(Optimization!$F$4:$AI$33))+1)</f>
        <v>#REF!</v>
      </c>
      <c r="C986" t="e" cm="1">
        <f t="array" ref="C986">INDEX(Optimization!$AT$4:$BW$33, INT((ROW()-1)/COLUMNS(Optimization!$AT$4:$BW$33))+1, MOD(ROW()-1, COLUMNS(Optimization!$AT$4:$BW$33))+1)</f>
        <v>#REF!</v>
      </c>
    </row>
    <row r="987" spans="1:3" x14ac:dyDescent="0.25">
      <c r="A987">
        <v>987</v>
      </c>
      <c r="B987" t="e" cm="1">
        <f t="array" ref="B987">INDEX(Optimization!$F$4:$AI$33, INT((ROW()-1)/COLUMNS(Optimization!$F$4:$AI$33))+1, MOD(ROW()-1, COLUMNS(Optimization!$F$4:$AI$33))+1)</f>
        <v>#REF!</v>
      </c>
      <c r="C987" t="e" cm="1">
        <f t="array" ref="C987">INDEX(Optimization!$AT$4:$BW$33, INT((ROW()-1)/COLUMNS(Optimization!$AT$4:$BW$33))+1, MOD(ROW()-1, COLUMNS(Optimization!$AT$4:$BW$33))+1)</f>
        <v>#REF!</v>
      </c>
    </row>
    <row r="988" spans="1:3" x14ac:dyDescent="0.25">
      <c r="A988">
        <v>988</v>
      </c>
      <c r="B988" t="e" cm="1">
        <f t="array" ref="B988">INDEX(Optimization!$F$4:$AI$33, INT((ROW()-1)/COLUMNS(Optimization!$F$4:$AI$33))+1, MOD(ROW()-1, COLUMNS(Optimization!$F$4:$AI$33))+1)</f>
        <v>#REF!</v>
      </c>
      <c r="C988" t="e" cm="1">
        <f t="array" ref="C988">INDEX(Optimization!$AT$4:$BW$33, INT((ROW()-1)/COLUMNS(Optimization!$AT$4:$BW$33))+1, MOD(ROW()-1, COLUMNS(Optimization!$AT$4:$BW$33))+1)</f>
        <v>#REF!</v>
      </c>
    </row>
    <row r="989" spans="1:3" x14ac:dyDescent="0.25">
      <c r="A989">
        <v>989</v>
      </c>
      <c r="B989" t="e" cm="1">
        <f t="array" ref="B989">INDEX(Optimization!$F$4:$AI$33, INT((ROW()-1)/COLUMNS(Optimization!$F$4:$AI$33))+1, MOD(ROW()-1, COLUMNS(Optimization!$F$4:$AI$33))+1)</f>
        <v>#REF!</v>
      </c>
      <c r="C989" t="e" cm="1">
        <f t="array" ref="C989">INDEX(Optimization!$AT$4:$BW$33, INT((ROW()-1)/COLUMNS(Optimization!$AT$4:$BW$33))+1, MOD(ROW()-1, COLUMNS(Optimization!$AT$4:$BW$33))+1)</f>
        <v>#REF!</v>
      </c>
    </row>
    <row r="990" spans="1:3" x14ac:dyDescent="0.25">
      <c r="A990">
        <v>990</v>
      </c>
      <c r="B990" t="e" cm="1">
        <f t="array" ref="B990">INDEX(Optimization!$F$4:$AI$33, INT((ROW()-1)/COLUMNS(Optimization!$F$4:$AI$33))+1, MOD(ROW()-1, COLUMNS(Optimization!$F$4:$AI$33))+1)</f>
        <v>#REF!</v>
      </c>
      <c r="C990" t="e" cm="1">
        <f t="array" ref="C990">INDEX(Optimization!$AT$4:$BW$33, INT((ROW()-1)/COLUMNS(Optimization!$AT$4:$BW$33))+1, MOD(ROW()-1, COLUMNS(Optimization!$AT$4:$BW$33))+1)</f>
        <v>#REF!</v>
      </c>
    </row>
    <row r="991" spans="1:3" x14ac:dyDescent="0.25">
      <c r="A991">
        <v>991</v>
      </c>
      <c r="B991" t="e" cm="1">
        <f t="array" ref="B991">INDEX(Optimization!$F$4:$AI$33, INT((ROW()-1)/COLUMNS(Optimization!$F$4:$AI$33))+1, MOD(ROW()-1, COLUMNS(Optimization!$F$4:$AI$33))+1)</f>
        <v>#REF!</v>
      </c>
      <c r="C991" t="e" cm="1">
        <f t="array" ref="C991">INDEX(Optimization!$AT$4:$BW$33, INT((ROW()-1)/COLUMNS(Optimization!$AT$4:$BW$33))+1, MOD(ROW()-1, COLUMNS(Optimization!$AT$4:$BW$33))+1)</f>
        <v>#REF!</v>
      </c>
    </row>
    <row r="992" spans="1:3" x14ac:dyDescent="0.25">
      <c r="A992">
        <v>992</v>
      </c>
      <c r="B992" t="e" cm="1">
        <f t="array" ref="B992">INDEX(Optimization!$F$4:$AI$33, INT((ROW()-1)/COLUMNS(Optimization!$F$4:$AI$33))+1, MOD(ROW()-1, COLUMNS(Optimization!$F$4:$AI$33))+1)</f>
        <v>#REF!</v>
      </c>
      <c r="C992" t="e" cm="1">
        <f t="array" ref="C992">INDEX(Optimization!$AT$4:$BW$33, INT((ROW()-1)/COLUMNS(Optimization!$AT$4:$BW$33))+1, MOD(ROW()-1, COLUMNS(Optimization!$AT$4:$BW$33))+1)</f>
        <v>#REF!</v>
      </c>
    </row>
    <row r="993" spans="1:3" x14ac:dyDescent="0.25">
      <c r="A993">
        <v>993</v>
      </c>
      <c r="B993" t="e" cm="1">
        <f t="array" ref="B993">INDEX(Optimization!$F$4:$AI$33, INT((ROW()-1)/COLUMNS(Optimization!$F$4:$AI$33))+1, MOD(ROW()-1, COLUMNS(Optimization!$F$4:$AI$33))+1)</f>
        <v>#REF!</v>
      </c>
      <c r="C993" t="e" cm="1">
        <f t="array" ref="C993">INDEX(Optimization!$AT$4:$BW$33, INT((ROW()-1)/COLUMNS(Optimization!$AT$4:$BW$33))+1, MOD(ROW()-1, COLUMNS(Optimization!$AT$4:$BW$33))+1)</f>
        <v>#REF!</v>
      </c>
    </row>
    <row r="994" spans="1:3" x14ac:dyDescent="0.25">
      <c r="A994">
        <v>994</v>
      </c>
      <c r="B994" t="e" cm="1">
        <f t="array" ref="B994">INDEX(Optimization!$F$4:$AI$33, INT((ROW()-1)/COLUMNS(Optimization!$F$4:$AI$33))+1, MOD(ROW()-1, COLUMNS(Optimization!$F$4:$AI$33))+1)</f>
        <v>#REF!</v>
      </c>
      <c r="C994" t="e" cm="1">
        <f t="array" ref="C994">INDEX(Optimization!$AT$4:$BW$33, INT((ROW()-1)/COLUMNS(Optimization!$AT$4:$BW$33))+1, MOD(ROW()-1, COLUMNS(Optimization!$AT$4:$BW$33))+1)</f>
        <v>#REF!</v>
      </c>
    </row>
    <row r="995" spans="1:3" x14ac:dyDescent="0.25">
      <c r="A995">
        <v>995</v>
      </c>
      <c r="B995" t="e" cm="1">
        <f t="array" ref="B995">INDEX(Optimization!$F$4:$AI$33, INT((ROW()-1)/COLUMNS(Optimization!$F$4:$AI$33))+1, MOD(ROW()-1, COLUMNS(Optimization!$F$4:$AI$33))+1)</f>
        <v>#REF!</v>
      </c>
      <c r="C995" t="e" cm="1">
        <f t="array" ref="C995">INDEX(Optimization!$AT$4:$BW$33, INT((ROW()-1)/COLUMNS(Optimization!$AT$4:$BW$33))+1, MOD(ROW()-1, COLUMNS(Optimization!$AT$4:$BW$33))+1)</f>
        <v>#REF!</v>
      </c>
    </row>
    <row r="996" spans="1:3" x14ac:dyDescent="0.25">
      <c r="A996">
        <v>996</v>
      </c>
      <c r="B996" t="e" cm="1">
        <f t="array" ref="B996">INDEX(Optimization!$F$4:$AI$33, INT((ROW()-1)/COLUMNS(Optimization!$F$4:$AI$33))+1, MOD(ROW()-1, COLUMNS(Optimization!$F$4:$AI$33))+1)</f>
        <v>#REF!</v>
      </c>
      <c r="C996" t="e" cm="1">
        <f t="array" ref="C996">INDEX(Optimization!$AT$4:$BW$33, INT((ROW()-1)/COLUMNS(Optimization!$AT$4:$BW$33))+1, MOD(ROW()-1, COLUMNS(Optimization!$AT$4:$BW$33))+1)</f>
        <v>#REF!</v>
      </c>
    </row>
    <row r="997" spans="1:3" x14ac:dyDescent="0.25">
      <c r="A997">
        <v>997</v>
      </c>
      <c r="B997" t="e" cm="1">
        <f t="array" ref="B997">INDEX(Optimization!$F$4:$AI$33, INT((ROW()-1)/COLUMNS(Optimization!$F$4:$AI$33))+1, MOD(ROW()-1, COLUMNS(Optimization!$F$4:$AI$33))+1)</f>
        <v>#REF!</v>
      </c>
      <c r="C997" t="e" cm="1">
        <f t="array" ref="C997">INDEX(Optimization!$AT$4:$BW$33, INT((ROW()-1)/COLUMNS(Optimization!$AT$4:$BW$33))+1, MOD(ROW()-1, COLUMNS(Optimization!$AT$4:$BW$33))+1)</f>
        <v>#REF!</v>
      </c>
    </row>
    <row r="998" spans="1:3" x14ac:dyDescent="0.25">
      <c r="A998">
        <v>998</v>
      </c>
      <c r="B998" t="e" cm="1">
        <f t="array" ref="B998">INDEX(Optimization!$F$4:$AI$33, INT((ROW()-1)/COLUMNS(Optimization!$F$4:$AI$33))+1, MOD(ROW()-1, COLUMNS(Optimization!$F$4:$AI$33))+1)</f>
        <v>#REF!</v>
      </c>
      <c r="C998" t="e" cm="1">
        <f t="array" ref="C998">INDEX(Optimization!$AT$4:$BW$33, INT((ROW()-1)/COLUMNS(Optimization!$AT$4:$BW$33))+1, MOD(ROW()-1, COLUMNS(Optimization!$AT$4:$BW$33))+1)</f>
        <v>#REF!</v>
      </c>
    </row>
    <row r="999" spans="1:3" x14ac:dyDescent="0.25">
      <c r="A999">
        <v>999</v>
      </c>
      <c r="B999" t="e" cm="1">
        <f t="array" ref="B999">INDEX(Optimization!$F$4:$AI$33, INT((ROW()-1)/COLUMNS(Optimization!$F$4:$AI$33))+1, MOD(ROW()-1, COLUMNS(Optimization!$F$4:$AI$33))+1)</f>
        <v>#REF!</v>
      </c>
      <c r="C999" t="e" cm="1">
        <f t="array" ref="C999">INDEX(Optimization!$AT$4:$BW$33, INT((ROW()-1)/COLUMNS(Optimization!$AT$4:$BW$33))+1, MOD(ROW()-1, COLUMNS(Optimization!$AT$4:$BW$33))+1)</f>
        <v>#REF!</v>
      </c>
    </row>
    <row r="1000" spans="1:3" x14ac:dyDescent="0.25">
      <c r="A1000">
        <v>1000</v>
      </c>
      <c r="B1000" t="e" cm="1">
        <f t="array" ref="B1000">INDEX(Optimization!$F$4:$AI$33, INT((ROW()-1)/COLUMNS(Optimization!$F$4:$AI$33))+1, MOD(ROW()-1, COLUMNS(Optimization!$F$4:$AI$33))+1)</f>
        <v>#REF!</v>
      </c>
      <c r="C1000" t="e" cm="1">
        <f t="array" ref="C1000">INDEX(Optimization!$AT$4:$BW$33, INT((ROW()-1)/COLUMNS(Optimization!$AT$4:$BW$33))+1, MOD(ROW()-1, COLUMNS(Optimization!$AT$4:$BW$33))+1)</f>
        <v>#REF!</v>
      </c>
    </row>
    <row r="1001" spans="1:3" x14ac:dyDescent="0.25">
      <c r="A1001">
        <v>1001</v>
      </c>
      <c r="B1001" t="e" cm="1">
        <f t="array" ref="B1001">INDEX(Optimization!$F$4:$AI$33, INT((ROW()-1)/COLUMNS(Optimization!$F$4:$AI$33))+1, MOD(ROW()-1, COLUMNS(Optimization!$F$4:$AI$33))+1)</f>
        <v>#REF!</v>
      </c>
      <c r="C1001" t="e" cm="1">
        <f t="array" ref="C1001">INDEX(Optimization!$AT$4:$BW$33, INT((ROW()-1)/COLUMNS(Optimization!$AT$4:$BW$33))+1, MOD(ROW()-1, COLUMNS(Optimization!$AT$4:$BW$33))+1)</f>
        <v>#REF!</v>
      </c>
    </row>
    <row r="1002" spans="1:3" x14ac:dyDescent="0.25">
      <c r="A1002">
        <v>1002</v>
      </c>
      <c r="B1002" t="e" cm="1">
        <f t="array" ref="B1002">INDEX(Optimization!$F$4:$AI$33, INT((ROW()-1)/COLUMNS(Optimization!$F$4:$AI$33))+1, MOD(ROW()-1, COLUMNS(Optimization!$F$4:$AI$33))+1)</f>
        <v>#REF!</v>
      </c>
      <c r="C1002" t="e" cm="1">
        <f t="array" ref="C1002">INDEX(Optimization!$AT$4:$BW$33, INT((ROW()-1)/COLUMNS(Optimization!$AT$4:$BW$33))+1, MOD(ROW()-1, COLUMNS(Optimization!$AT$4:$BW$33))+1)</f>
        <v>#REF!</v>
      </c>
    </row>
    <row r="1003" spans="1:3" x14ac:dyDescent="0.25">
      <c r="A1003">
        <v>1003</v>
      </c>
      <c r="B1003" t="e" cm="1">
        <f t="array" ref="B1003">INDEX(Optimization!$F$4:$AI$33, INT((ROW()-1)/COLUMNS(Optimization!$F$4:$AI$33))+1, MOD(ROW()-1, COLUMNS(Optimization!$F$4:$AI$33))+1)</f>
        <v>#REF!</v>
      </c>
      <c r="C1003" t="e" cm="1">
        <f t="array" ref="C1003">INDEX(Optimization!$AT$4:$BW$33, INT((ROW()-1)/COLUMNS(Optimization!$AT$4:$BW$33))+1, MOD(ROW()-1, COLUMNS(Optimization!$AT$4:$BW$33))+1)</f>
        <v>#REF!</v>
      </c>
    </row>
    <row r="1004" spans="1:3" x14ac:dyDescent="0.25">
      <c r="A1004">
        <v>1004</v>
      </c>
      <c r="B1004" t="e" cm="1">
        <f t="array" ref="B1004">INDEX(Optimization!$F$4:$AI$33, INT((ROW()-1)/COLUMNS(Optimization!$F$4:$AI$33))+1, MOD(ROW()-1, COLUMNS(Optimization!$F$4:$AI$33))+1)</f>
        <v>#REF!</v>
      </c>
      <c r="C1004" t="e" cm="1">
        <f t="array" ref="C1004">INDEX(Optimization!$AT$4:$BW$33, INT((ROW()-1)/COLUMNS(Optimization!$AT$4:$BW$33))+1, MOD(ROW()-1, COLUMNS(Optimization!$AT$4:$BW$33))+1)</f>
        <v>#REF!</v>
      </c>
    </row>
    <row r="1005" spans="1:3" x14ac:dyDescent="0.25">
      <c r="A1005">
        <v>1005</v>
      </c>
      <c r="B1005" t="e" cm="1">
        <f t="array" ref="B1005">INDEX(Optimization!$F$4:$AI$33, INT((ROW()-1)/COLUMNS(Optimization!$F$4:$AI$33))+1, MOD(ROW()-1, COLUMNS(Optimization!$F$4:$AI$33))+1)</f>
        <v>#REF!</v>
      </c>
      <c r="C1005" t="e" cm="1">
        <f t="array" ref="C1005">INDEX(Optimization!$AT$4:$BW$33, INT((ROW()-1)/COLUMNS(Optimization!$AT$4:$BW$33))+1, MOD(ROW()-1, COLUMNS(Optimization!$AT$4:$BW$33))+1)</f>
        <v>#REF!</v>
      </c>
    </row>
    <row r="1006" spans="1:3" x14ac:dyDescent="0.25">
      <c r="A1006">
        <v>1006</v>
      </c>
      <c r="B1006" t="e" cm="1">
        <f t="array" ref="B1006">INDEX(Optimization!$F$4:$AI$33, INT((ROW()-1)/COLUMNS(Optimization!$F$4:$AI$33))+1, MOD(ROW()-1, COLUMNS(Optimization!$F$4:$AI$33))+1)</f>
        <v>#REF!</v>
      </c>
      <c r="C1006" t="e" cm="1">
        <f t="array" ref="C1006">INDEX(Optimization!$AT$4:$BW$33, INT((ROW()-1)/COLUMNS(Optimization!$AT$4:$BW$33))+1, MOD(ROW()-1, COLUMNS(Optimization!$AT$4:$BW$33))+1)</f>
        <v>#REF!</v>
      </c>
    </row>
    <row r="1007" spans="1:3" x14ac:dyDescent="0.25">
      <c r="A1007">
        <v>1007</v>
      </c>
      <c r="B1007" t="e" cm="1">
        <f t="array" ref="B1007">INDEX(Optimization!$F$4:$AI$33, INT((ROW()-1)/COLUMNS(Optimization!$F$4:$AI$33))+1, MOD(ROW()-1, COLUMNS(Optimization!$F$4:$AI$33))+1)</f>
        <v>#REF!</v>
      </c>
      <c r="C1007" t="e" cm="1">
        <f t="array" ref="C1007">INDEX(Optimization!$AT$4:$BW$33, INT((ROW()-1)/COLUMNS(Optimization!$AT$4:$BW$33))+1, MOD(ROW()-1, COLUMNS(Optimization!$AT$4:$BW$33))+1)</f>
        <v>#REF!</v>
      </c>
    </row>
    <row r="1008" spans="1:3" x14ac:dyDescent="0.25">
      <c r="A1008">
        <v>1008</v>
      </c>
      <c r="B1008" t="e" cm="1">
        <f t="array" ref="B1008">INDEX(Optimization!$F$4:$AI$33, INT((ROW()-1)/COLUMNS(Optimization!$F$4:$AI$33))+1, MOD(ROW()-1, COLUMNS(Optimization!$F$4:$AI$33))+1)</f>
        <v>#REF!</v>
      </c>
      <c r="C1008" t="e" cm="1">
        <f t="array" ref="C1008">INDEX(Optimization!$AT$4:$BW$33, INT((ROW()-1)/COLUMNS(Optimization!$AT$4:$BW$33))+1, MOD(ROW()-1, COLUMNS(Optimization!$AT$4:$BW$33))+1)</f>
        <v>#REF!</v>
      </c>
    </row>
    <row r="1009" spans="1:3" x14ac:dyDescent="0.25">
      <c r="A1009">
        <v>1009</v>
      </c>
      <c r="B1009" t="e" cm="1">
        <f t="array" ref="B1009">INDEX(Optimization!$F$4:$AI$33, INT((ROW()-1)/COLUMNS(Optimization!$F$4:$AI$33))+1, MOD(ROW()-1, COLUMNS(Optimization!$F$4:$AI$33))+1)</f>
        <v>#REF!</v>
      </c>
      <c r="C1009" t="e" cm="1">
        <f t="array" ref="C1009">INDEX(Optimization!$AT$4:$BW$33, INT((ROW()-1)/COLUMNS(Optimization!$AT$4:$BW$33))+1, MOD(ROW()-1, COLUMNS(Optimization!$AT$4:$BW$33))+1)</f>
        <v>#REF!</v>
      </c>
    </row>
    <row r="1010" spans="1:3" x14ac:dyDescent="0.25">
      <c r="A1010">
        <v>1010</v>
      </c>
      <c r="B1010" t="e" cm="1">
        <f t="array" ref="B1010">INDEX(Optimization!$F$4:$AI$33, INT((ROW()-1)/COLUMNS(Optimization!$F$4:$AI$33))+1, MOD(ROW()-1, COLUMNS(Optimization!$F$4:$AI$33))+1)</f>
        <v>#REF!</v>
      </c>
      <c r="C1010" t="e" cm="1">
        <f t="array" ref="C1010">INDEX(Optimization!$AT$4:$BW$33, INT((ROW()-1)/COLUMNS(Optimization!$AT$4:$BW$33))+1, MOD(ROW()-1, COLUMNS(Optimization!$AT$4:$BW$33))+1)</f>
        <v>#REF!</v>
      </c>
    </row>
    <row r="1011" spans="1:3" x14ac:dyDescent="0.25">
      <c r="A1011">
        <v>1011</v>
      </c>
      <c r="B1011" t="e" cm="1">
        <f t="array" ref="B1011">INDEX(Optimization!$F$4:$AI$33, INT((ROW()-1)/COLUMNS(Optimization!$F$4:$AI$33))+1, MOD(ROW()-1, COLUMNS(Optimization!$F$4:$AI$33))+1)</f>
        <v>#REF!</v>
      </c>
      <c r="C1011" t="e" cm="1">
        <f t="array" ref="C1011">INDEX(Optimization!$AT$4:$BW$33, INT((ROW()-1)/COLUMNS(Optimization!$AT$4:$BW$33))+1, MOD(ROW()-1, COLUMNS(Optimization!$AT$4:$BW$33))+1)</f>
        <v>#REF!</v>
      </c>
    </row>
    <row r="1012" spans="1:3" x14ac:dyDescent="0.25">
      <c r="A1012">
        <v>1012</v>
      </c>
      <c r="B1012" t="e" cm="1">
        <f t="array" ref="B1012">INDEX(Optimization!$F$4:$AI$33, INT((ROW()-1)/COLUMNS(Optimization!$F$4:$AI$33))+1, MOD(ROW()-1, COLUMNS(Optimization!$F$4:$AI$33))+1)</f>
        <v>#REF!</v>
      </c>
      <c r="C1012" t="e" cm="1">
        <f t="array" ref="C1012">INDEX(Optimization!$AT$4:$BW$33, INT((ROW()-1)/COLUMNS(Optimization!$AT$4:$BW$33))+1, MOD(ROW()-1, COLUMNS(Optimization!$AT$4:$BW$33))+1)</f>
        <v>#REF!</v>
      </c>
    </row>
    <row r="1013" spans="1:3" x14ac:dyDescent="0.25">
      <c r="A1013">
        <v>1013</v>
      </c>
      <c r="B1013" t="e" cm="1">
        <f t="array" ref="B1013">INDEX(Optimization!$F$4:$AI$33, INT((ROW()-1)/COLUMNS(Optimization!$F$4:$AI$33))+1, MOD(ROW()-1, COLUMNS(Optimization!$F$4:$AI$33))+1)</f>
        <v>#REF!</v>
      </c>
      <c r="C1013" t="e" cm="1">
        <f t="array" ref="C1013">INDEX(Optimization!$AT$4:$BW$33, INT((ROW()-1)/COLUMNS(Optimization!$AT$4:$BW$33))+1, MOD(ROW()-1, COLUMNS(Optimization!$AT$4:$BW$33))+1)</f>
        <v>#REF!</v>
      </c>
    </row>
    <row r="1014" spans="1:3" x14ac:dyDescent="0.25">
      <c r="A1014">
        <v>1014</v>
      </c>
      <c r="B1014" t="e" cm="1">
        <f t="array" ref="B1014">INDEX(Optimization!$F$4:$AI$33, INT((ROW()-1)/COLUMNS(Optimization!$F$4:$AI$33))+1, MOD(ROW()-1, COLUMNS(Optimization!$F$4:$AI$33))+1)</f>
        <v>#REF!</v>
      </c>
      <c r="C1014" t="e" cm="1">
        <f t="array" ref="C1014">INDEX(Optimization!$AT$4:$BW$33, INT((ROW()-1)/COLUMNS(Optimization!$AT$4:$BW$33))+1, MOD(ROW()-1, COLUMNS(Optimization!$AT$4:$BW$33))+1)</f>
        <v>#REF!</v>
      </c>
    </row>
    <row r="1015" spans="1:3" x14ac:dyDescent="0.25">
      <c r="A1015">
        <v>1015</v>
      </c>
      <c r="B1015" t="e" cm="1">
        <f t="array" ref="B1015">INDEX(Optimization!$F$4:$AI$33, INT((ROW()-1)/COLUMNS(Optimization!$F$4:$AI$33))+1, MOD(ROW()-1, COLUMNS(Optimization!$F$4:$AI$33))+1)</f>
        <v>#REF!</v>
      </c>
      <c r="C1015" t="e" cm="1">
        <f t="array" ref="C1015">INDEX(Optimization!$AT$4:$BW$33, INT((ROW()-1)/COLUMNS(Optimization!$AT$4:$BW$33))+1, MOD(ROW()-1, COLUMNS(Optimization!$AT$4:$BW$33))+1)</f>
        <v>#REF!</v>
      </c>
    </row>
    <row r="1016" spans="1:3" x14ac:dyDescent="0.25">
      <c r="A1016">
        <v>1016</v>
      </c>
      <c r="B1016" t="e" cm="1">
        <f t="array" ref="B1016">INDEX(Optimization!$F$4:$AI$33, INT((ROW()-1)/COLUMNS(Optimization!$F$4:$AI$33))+1, MOD(ROW()-1, COLUMNS(Optimization!$F$4:$AI$33))+1)</f>
        <v>#REF!</v>
      </c>
      <c r="C1016" t="e" cm="1">
        <f t="array" ref="C1016">INDEX(Optimization!$AT$4:$BW$33, INT((ROW()-1)/COLUMNS(Optimization!$AT$4:$BW$33))+1, MOD(ROW()-1, COLUMNS(Optimization!$AT$4:$BW$33))+1)</f>
        <v>#REF!</v>
      </c>
    </row>
    <row r="1017" spans="1:3" x14ac:dyDescent="0.25">
      <c r="A1017">
        <v>1017</v>
      </c>
      <c r="B1017" t="e" cm="1">
        <f t="array" ref="B1017">INDEX(Optimization!$F$4:$AI$33, INT((ROW()-1)/COLUMNS(Optimization!$F$4:$AI$33))+1, MOD(ROW()-1, COLUMNS(Optimization!$F$4:$AI$33))+1)</f>
        <v>#REF!</v>
      </c>
      <c r="C1017" t="e" cm="1">
        <f t="array" ref="C1017">INDEX(Optimization!$AT$4:$BW$33, INT((ROW()-1)/COLUMNS(Optimization!$AT$4:$BW$33))+1, MOD(ROW()-1, COLUMNS(Optimization!$AT$4:$BW$33))+1)</f>
        <v>#REF!</v>
      </c>
    </row>
    <row r="1018" spans="1:3" x14ac:dyDescent="0.25">
      <c r="A1018">
        <v>1018</v>
      </c>
      <c r="B1018" t="e" cm="1">
        <f t="array" ref="B1018">INDEX(Optimization!$F$4:$AI$33, INT((ROW()-1)/COLUMNS(Optimization!$F$4:$AI$33))+1, MOD(ROW()-1, COLUMNS(Optimization!$F$4:$AI$33))+1)</f>
        <v>#REF!</v>
      </c>
      <c r="C1018" t="e" cm="1">
        <f t="array" ref="C1018">INDEX(Optimization!$AT$4:$BW$33, INT((ROW()-1)/COLUMNS(Optimization!$AT$4:$BW$33))+1, MOD(ROW()-1, COLUMNS(Optimization!$AT$4:$BW$33))+1)</f>
        <v>#REF!</v>
      </c>
    </row>
    <row r="1019" spans="1:3" x14ac:dyDescent="0.25">
      <c r="A1019">
        <v>1019</v>
      </c>
      <c r="B1019" t="e" cm="1">
        <f t="array" ref="B1019">INDEX(Optimization!$F$4:$AI$33, INT((ROW()-1)/COLUMNS(Optimization!$F$4:$AI$33))+1, MOD(ROW()-1, COLUMNS(Optimization!$F$4:$AI$33))+1)</f>
        <v>#REF!</v>
      </c>
      <c r="C1019" t="e" cm="1">
        <f t="array" ref="C1019">INDEX(Optimization!$AT$4:$BW$33, INT((ROW()-1)/COLUMNS(Optimization!$AT$4:$BW$33))+1, MOD(ROW()-1, COLUMNS(Optimization!$AT$4:$BW$33))+1)</f>
        <v>#REF!</v>
      </c>
    </row>
    <row r="1020" spans="1:3" x14ac:dyDescent="0.25">
      <c r="A1020">
        <v>1020</v>
      </c>
      <c r="B1020" t="e" cm="1">
        <f t="array" ref="B1020">INDEX(Optimization!$F$4:$AI$33, INT((ROW()-1)/COLUMNS(Optimization!$F$4:$AI$33))+1, MOD(ROW()-1, COLUMNS(Optimization!$F$4:$AI$33))+1)</f>
        <v>#REF!</v>
      </c>
      <c r="C1020" t="e" cm="1">
        <f t="array" ref="C1020">INDEX(Optimization!$AT$4:$BW$33, INT((ROW()-1)/COLUMNS(Optimization!$AT$4:$BW$33))+1, MOD(ROW()-1, COLUMNS(Optimization!$AT$4:$BW$33))+1)</f>
        <v>#REF!</v>
      </c>
    </row>
    <row r="1021" spans="1:3" x14ac:dyDescent="0.25">
      <c r="A1021">
        <v>1021</v>
      </c>
      <c r="B1021" t="e" cm="1">
        <f t="array" ref="B1021">INDEX(Optimization!$F$4:$AI$33, INT((ROW()-1)/COLUMNS(Optimization!$F$4:$AI$33))+1, MOD(ROW()-1, COLUMNS(Optimization!$F$4:$AI$33))+1)</f>
        <v>#REF!</v>
      </c>
      <c r="C1021" t="e" cm="1">
        <f t="array" ref="C1021">INDEX(Optimization!$AT$4:$BW$33, INT((ROW()-1)/COLUMNS(Optimization!$AT$4:$BW$33))+1, MOD(ROW()-1, COLUMNS(Optimization!$AT$4:$BW$33))+1)</f>
        <v>#REF!</v>
      </c>
    </row>
    <row r="1022" spans="1:3" x14ac:dyDescent="0.25">
      <c r="A1022">
        <v>1022</v>
      </c>
      <c r="B1022" t="e" cm="1">
        <f t="array" ref="B1022">INDEX(Optimization!$F$4:$AI$33, INT((ROW()-1)/COLUMNS(Optimization!$F$4:$AI$33))+1, MOD(ROW()-1, COLUMNS(Optimization!$F$4:$AI$33))+1)</f>
        <v>#REF!</v>
      </c>
      <c r="C1022" t="e" cm="1">
        <f t="array" ref="C1022">INDEX(Optimization!$AT$4:$BW$33, INT((ROW()-1)/COLUMNS(Optimization!$AT$4:$BW$33))+1, MOD(ROW()-1, COLUMNS(Optimization!$AT$4:$BW$33))+1)</f>
        <v>#REF!</v>
      </c>
    </row>
    <row r="1023" spans="1:3" x14ac:dyDescent="0.25">
      <c r="A1023">
        <v>1023</v>
      </c>
      <c r="B1023" t="e" cm="1">
        <f t="array" ref="B1023">INDEX(Optimization!$F$4:$AI$33, INT((ROW()-1)/COLUMNS(Optimization!$F$4:$AI$33))+1, MOD(ROW()-1, COLUMNS(Optimization!$F$4:$AI$33))+1)</f>
        <v>#REF!</v>
      </c>
      <c r="C1023" t="e" cm="1">
        <f t="array" ref="C1023">INDEX(Optimization!$AT$4:$BW$33, INT((ROW()-1)/COLUMNS(Optimization!$AT$4:$BW$33))+1, MOD(ROW()-1, COLUMNS(Optimization!$AT$4:$BW$33))+1)</f>
        <v>#REF!</v>
      </c>
    </row>
    <row r="1024" spans="1:3" x14ac:dyDescent="0.25">
      <c r="A1024">
        <v>1024</v>
      </c>
      <c r="B1024" t="e" cm="1">
        <f t="array" ref="B1024">INDEX(Optimization!$F$4:$AI$33, INT((ROW()-1)/COLUMNS(Optimization!$F$4:$AI$33))+1, MOD(ROW()-1, COLUMNS(Optimization!$F$4:$AI$33))+1)</f>
        <v>#REF!</v>
      </c>
      <c r="C1024" t="e" cm="1">
        <f t="array" ref="C1024">INDEX(Optimization!$AT$4:$BW$33, INT((ROW()-1)/COLUMNS(Optimization!$AT$4:$BW$33))+1, MOD(ROW()-1, COLUMNS(Optimization!$AT$4:$BW$33))+1)</f>
        <v>#REF!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Optimization</vt:lpstr>
      <vt:lpstr>SCA_flatten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Lstibůrek Milan</dc:creator>
  <cp:lastModifiedBy>Sagariya Yobu Christi</cp:lastModifiedBy>
  <dcterms:created xsi:type="dcterms:W3CDTF">2025-06-10T07:31:26Z</dcterms:created>
  <dcterms:modified xsi:type="dcterms:W3CDTF">2026-05-20T16:31:46Z</dcterms:modified>
</cp:coreProperties>
</file>